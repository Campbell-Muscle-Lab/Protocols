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wnloads\"/>
    </mc:Choice>
  </mc:AlternateContent>
  <xr:revisionPtr revIDLastSave="0" documentId="13_ncr:1_{33AD6684-498D-41DD-B9DB-FBC725EF78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ipe" sheetId="4" r:id="rId1"/>
    <sheet name="mix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5" i="4" l="1"/>
  <c r="A34" i="4"/>
  <c r="A33" i="4"/>
  <c r="E33" i="4"/>
  <c r="D33" i="4"/>
  <c r="E34" i="4"/>
  <c r="D34" i="4"/>
  <c r="I14" i="4"/>
  <c r="K14" i="4" s="1"/>
  <c r="I13" i="4"/>
  <c r="M13" i="4" s="1"/>
  <c r="G31" i="4"/>
  <c r="I31" i="4" s="1"/>
  <c r="G30" i="4"/>
  <c r="I30" i="4" s="1"/>
  <c r="G12" i="4"/>
  <c r="I12" i="4" s="1"/>
  <c r="G11" i="4"/>
  <c r="G28" i="4" s="1"/>
  <c r="G10" i="4"/>
  <c r="G27" i="4" s="1"/>
  <c r="G9" i="4"/>
  <c r="G26" i="4" s="1"/>
  <c r="G7" i="4"/>
  <c r="G24" i="4" s="1"/>
  <c r="E31" i="4"/>
  <c r="E30" i="4"/>
  <c r="H23" i="4"/>
  <c r="G23" i="4"/>
  <c r="F23" i="4"/>
  <c r="E23" i="4"/>
  <c r="D23" i="4"/>
  <c r="C23" i="4"/>
  <c r="B23" i="4"/>
  <c r="A23" i="4"/>
  <c r="A31" i="4"/>
  <c r="A30" i="4"/>
  <c r="A29" i="4"/>
  <c r="A28" i="4"/>
  <c r="A27" i="4"/>
  <c r="A26" i="4"/>
  <c r="A25" i="4"/>
  <c r="A24" i="4"/>
  <c r="D31" i="4"/>
  <c r="C31" i="4"/>
  <c r="M12" i="4" l="1"/>
  <c r="K12" i="4"/>
  <c r="O12" i="4"/>
  <c r="O30" i="4"/>
  <c r="M30" i="4"/>
  <c r="K30" i="4"/>
  <c r="O31" i="4"/>
  <c r="M31" i="4"/>
  <c r="K31" i="4"/>
  <c r="O13" i="4"/>
  <c r="O14" i="4"/>
  <c r="M14" i="4"/>
  <c r="G29" i="4"/>
  <c r="I29" i="4" s="1"/>
  <c r="K13" i="4"/>
  <c r="C29" i="4"/>
  <c r="D29" i="4"/>
  <c r="E29" i="4"/>
  <c r="F29" i="4"/>
  <c r="B29" i="4"/>
  <c r="I11" i="4"/>
  <c r="M11" i="4" l="1"/>
  <c r="K11" i="4"/>
  <c r="O11" i="4"/>
  <c r="O29" i="4"/>
  <c r="M29" i="4"/>
  <c r="K29" i="4"/>
  <c r="G8" i="4"/>
  <c r="G25" i="4" s="1"/>
  <c r="E28" i="4"/>
  <c r="E27" i="4"/>
  <c r="E26" i="4"/>
  <c r="E25" i="4"/>
  <c r="E24" i="4"/>
  <c r="F28" i="4"/>
  <c r="F27" i="4"/>
  <c r="F26" i="4"/>
  <c r="F25" i="4"/>
  <c r="F24" i="4"/>
  <c r="C30" i="4"/>
  <c r="C28" i="4"/>
  <c r="C27" i="4"/>
  <c r="C26" i="4"/>
  <c r="C25" i="4"/>
  <c r="C24" i="4"/>
  <c r="D30" i="4"/>
  <c r="D28" i="4"/>
  <c r="D27" i="4"/>
  <c r="D26" i="4"/>
  <c r="D25" i="4"/>
  <c r="D24" i="4"/>
  <c r="B31" i="4"/>
  <c r="B30" i="4"/>
  <c r="B28" i="4"/>
  <c r="B27" i="4"/>
  <c r="B26" i="4"/>
  <c r="B25" i="4"/>
  <c r="B24" i="4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H18" i="3" l="1"/>
  <c r="H20" i="3" s="1"/>
  <c r="H22" i="3" s="1"/>
  <c r="H23" i="3" s="1"/>
  <c r="J18" i="3"/>
  <c r="J16" i="3"/>
  <c r="H16" i="3"/>
  <c r="J15" i="3"/>
  <c r="H15" i="3"/>
  <c r="J14" i="3"/>
  <c r="H14" i="3"/>
  <c r="J12" i="3"/>
  <c r="H12" i="3"/>
  <c r="J6" i="3"/>
  <c r="H6" i="3"/>
  <c r="J17" i="3"/>
  <c r="H17" i="3"/>
  <c r="H13" i="3"/>
  <c r="J13" i="3"/>
  <c r="J11" i="3"/>
  <c r="H11" i="3"/>
  <c r="J10" i="3"/>
  <c r="H10" i="3"/>
  <c r="J9" i="3"/>
  <c r="H9" i="3"/>
  <c r="J8" i="3"/>
  <c r="H8" i="3"/>
  <c r="J7" i="3"/>
  <c r="H7" i="3"/>
  <c r="J5" i="3"/>
  <c r="H5" i="3"/>
  <c r="J4" i="3"/>
  <c r="H4" i="3"/>
  <c r="J20" i="3"/>
  <c r="J22" i="3" s="1"/>
  <c r="J23" i="3" s="1"/>
  <c r="I7" i="4" l="1"/>
  <c r="I8" i="4"/>
  <c r="I28" i="4"/>
  <c r="I24" i="4"/>
  <c r="I26" i="4"/>
  <c r="I10" i="4"/>
  <c r="I25" i="4"/>
  <c r="I27" i="4"/>
  <c r="I9" i="4"/>
  <c r="M7" i="4" l="1"/>
  <c r="O7" i="4"/>
  <c r="K7" i="4"/>
  <c r="M9" i="4"/>
  <c r="K9" i="4"/>
  <c r="O9" i="4"/>
  <c r="O27" i="4"/>
  <c r="M27" i="4"/>
  <c r="K27" i="4"/>
  <c r="O25" i="4"/>
  <c r="M25" i="4"/>
  <c r="K25" i="4"/>
  <c r="M10" i="4"/>
  <c r="K10" i="4"/>
  <c r="O10" i="4"/>
  <c r="O26" i="4"/>
  <c r="M26" i="4"/>
  <c r="K26" i="4"/>
  <c r="O24" i="4"/>
  <c r="M24" i="4"/>
  <c r="K24" i="4"/>
  <c r="O28" i="4"/>
  <c r="M28" i="4"/>
  <c r="K28" i="4"/>
  <c r="M8" i="4"/>
  <c r="K8" i="4"/>
  <c r="O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tc={DA7A69C7-0FD7-4ACF-A19E-F1E72095D0EB}</author>
    <author>tc={79BBE04A-5438-4E19-95E9-080265C2168A}</author>
    <author>tc={AF91FCCA-091C-472F-87CC-4BB9EDADF3AA}</author>
    <author>tc={AEEBBD03-16DD-48A2-A699-CD21FA28B309}</author>
    <author>tc={443A5421-B752-488F-8588-3FAFD22A384B}</author>
    <author>tc={65FE7A6A-0406-4DC0-9959-27C16D1ACEC1}</author>
    <author>tc={CA7C81D0-5B71-4F60-A590-BCDE3834BA76}</author>
  </authors>
  <commentList>
    <comment ref="I5" authorId="0" shapeId="0" xr:uid="{DA7A69C7-0FD7-4ACF-A19E-F1E72095D0E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Calculation: Corrected MW * Concentration
Rounded to 4 decimal places</t>
      </text>
    </comment>
    <comment ref="E6" authorId="1" shapeId="0" xr:uid="{79BBE04A-5438-4E19-95E9-080265C2168A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Obtain this from the Certificate of Analysis (COA) for the given compound. This should match the corresponding catalog AND lot numbers.</t>
      </text>
    </comment>
    <comment ref="F6" authorId="2" shapeId="0" xr:uid="{AF91FCCA-091C-472F-87CC-4BB9EDADF3AA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 this from the Certificate of Analysis (COA) for the given compound. This should match the corresponding catalog AND lot numbers.</t>
      </text>
    </comment>
    <comment ref="G6" authorId="3" shapeId="0" xr:uid="{AEEBBD03-16DD-48A2-A699-CD21FA28B3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Calculation: (MW / Purity) * 100</t>
      </text>
    </comment>
    <comment ref="H6" authorId="4" shapeId="0" xr:uid="{443A5421-B752-488F-8588-3FAFD22A384B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calculations in MaxChelator output file</t>
      </text>
    </comment>
    <comment ref="G13" authorId="5" shapeId="0" xr:uid="{65FE7A6A-0406-4DC0-9959-27C16D1ACEC1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 from corresponding COA.</t>
      </text>
    </comment>
    <comment ref="G14" authorId="6" shapeId="0" xr:uid="{CA7C81D0-5B71-4F60-A590-BCDE3834BA7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should have stocks in the 4C fridge with this concentration denoted on the label.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tc={4D0D9703-797D-43EE-A518-00523C1F5179}</author>
    <author>tc={9F1E1399-01C9-4913-8CEC-F822C81323F9}</author>
    <author>tc={660DA3A3-AC7B-40C8-A047-00A7E6F6B0DA}</author>
    <author>tc={C01D0FA5-B040-46D1-95B2-551522A0C7C0}</author>
  </authors>
  <commentList>
    <comment ref="B3" authorId="0" shapeId="0" xr:uid="{4D0D9703-797D-43EE-A518-00523C1F51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relative proportion of pCa 9.0 in the total volume of the corresponding pCa solution (column A).</t>
      </text>
    </comment>
    <comment ref="C3" authorId="1" shapeId="0" xr:uid="{9F1E1399-01C9-4913-8CEC-F822C81323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relative proportion of pCa 4.5 in the total volume of the corresponding pCa solution (column A).</t>
      </text>
    </comment>
    <comment ref="D3" authorId="2" shapeId="0" xr:uid="{660DA3A3-AC7B-40C8-A047-00A7E6F6B0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Predetermined amount of vials planned to be made for each pCa solution.</t>
      </text>
    </comment>
    <comment ref="F3" authorId="3" shapeId="0" xr:uid="{C01D0FA5-B040-46D1-95B2-551522A0C7C0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2-mL Vials * Volume per 2.0-mL Vial</t>
      </text>
    </comment>
  </commentList>
</comments>
</file>

<file path=xl/sharedStrings.xml><?xml version="1.0" encoding="utf-8"?>
<sst xmlns="http://schemas.openxmlformats.org/spreadsheetml/2006/main" count="133" uniqueCount="60">
  <si>
    <t>Solution:</t>
  </si>
  <si>
    <t>pCa @37C pH7</t>
  </si>
  <si>
    <t>Made by:</t>
  </si>
  <si>
    <t>Date:</t>
  </si>
  <si>
    <t xml:space="preserve">pCa 9.0 </t>
  </si>
  <si>
    <r>
      <t xml:space="preserve">Amount for      </t>
    </r>
    <r>
      <rPr>
        <b/>
        <sz val="16"/>
        <color theme="4"/>
        <rFont val="Arial"/>
        <family val="2"/>
      </rPr>
      <t>1 L</t>
    </r>
  </si>
  <si>
    <t>Unit</t>
  </si>
  <si>
    <r>
      <t xml:space="preserve">Amount for </t>
    </r>
    <r>
      <rPr>
        <b/>
        <sz val="14"/>
        <color theme="4"/>
        <rFont val="Arial"/>
        <family val="2"/>
      </rPr>
      <t>500 mL</t>
    </r>
    <r>
      <rPr>
        <b/>
        <sz val="14"/>
        <color rgb="FFFF0000"/>
        <rFont val="Arial"/>
        <family val="2"/>
      </rPr>
      <t xml:space="preserve"> </t>
    </r>
  </si>
  <si>
    <r>
      <t xml:space="preserve">Amount for </t>
    </r>
    <r>
      <rPr>
        <b/>
        <sz val="14"/>
        <color theme="4"/>
        <rFont val="Arial"/>
        <family val="2"/>
      </rPr>
      <t>250 mL</t>
    </r>
  </si>
  <si>
    <r>
      <t xml:space="preserve">Amount for </t>
    </r>
    <r>
      <rPr>
        <b/>
        <sz val="14"/>
        <color theme="4"/>
        <rFont val="Arial"/>
        <family val="2"/>
      </rPr>
      <t>100 mL</t>
    </r>
  </si>
  <si>
    <t>Amount Added</t>
  </si>
  <si>
    <t xml:space="preserve">Compound </t>
  </si>
  <si>
    <t xml:space="preserve">Company </t>
  </si>
  <si>
    <t>Catalog #</t>
  </si>
  <si>
    <t xml:space="preserve">Lot # </t>
  </si>
  <si>
    <t>MW (g/mol)</t>
  </si>
  <si>
    <t xml:space="preserve">Purity (%) </t>
  </si>
  <si>
    <t>Corrected MW (g/mol)</t>
  </si>
  <si>
    <t>Concentration (M)</t>
  </si>
  <si>
    <t xml:space="preserve">EGTA </t>
  </si>
  <si>
    <t>g</t>
  </si>
  <si>
    <t>BES</t>
  </si>
  <si>
    <t>K Propionate</t>
  </si>
  <si>
    <t xml:space="preserve">Creatine Phosphate </t>
  </si>
  <si>
    <t xml:space="preserve">ATP </t>
  </si>
  <si>
    <t>DTT</t>
  </si>
  <si>
    <t>CaCl2</t>
  </si>
  <si>
    <t>concentration (M)</t>
  </si>
  <si>
    <t>µL </t>
  </si>
  <si>
    <t>MgCl2</t>
  </si>
  <si>
    <t>STOCK</t>
  </si>
  <si>
    <t>N/A</t>
  </si>
  <si>
    <t>mL</t>
  </si>
  <si>
    <t>Initial pH</t>
  </si>
  <si>
    <t>Target pH</t>
  </si>
  <si>
    <t xml:space="preserve">Target Temp. (°C) </t>
  </si>
  <si>
    <t>Final pH</t>
  </si>
  <si>
    <t>Amount of HCl/KOH</t>
  </si>
  <si>
    <t xml:space="preserve">Ionic Strength is 180mM if 16mM is used for pHing. </t>
  </si>
  <si>
    <t xml:space="preserve">pCa 4.5 </t>
  </si>
  <si>
    <r>
      <t xml:space="preserve">Amount for      </t>
    </r>
    <r>
      <rPr>
        <b/>
        <sz val="14"/>
        <color rgb="FFFF0000"/>
        <rFont val="Arial"/>
        <family val="2"/>
      </rPr>
      <t>1 L</t>
    </r>
  </si>
  <si>
    <r>
      <t xml:space="preserve">Amount for </t>
    </r>
    <r>
      <rPr>
        <b/>
        <sz val="14"/>
        <color rgb="FFFF0000"/>
        <rFont val="Arial"/>
        <family val="2"/>
      </rPr>
      <t>500 mL</t>
    </r>
  </si>
  <si>
    <r>
      <t xml:space="preserve">Amount for </t>
    </r>
    <r>
      <rPr>
        <b/>
        <sz val="14"/>
        <color rgb="FFFF0000"/>
        <rFont val="Arial"/>
        <family val="2"/>
      </rPr>
      <t>250 mL</t>
    </r>
  </si>
  <si>
    <r>
      <t xml:space="preserve">Amount for </t>
    </r>
    <r>
      <rPr>
        <b/>
        <sz val="14"/>
        <color rgb="FFFF0000"/>
        <rFont val="Arial"/>
        <family val="2"/>
      </rPr>
      <t>100 mL</t>
    </r>
  </si>
  <si>
    <t>ml</t>
  </si>
  <si>
    <t xml:space="preserve">Ionic Strength is 180mM if 32mM is used for pHing. </t>
  </si>
  <si>
    <t>Notes:</t>
  </si>
  <si>
    <t>pCa Mixing Table</t>
  </si>
  <si>
    <t>pCa</t>
  </si>
  <si>
    <t>Proportion of pCa 9.0</t>
  </si>
  <si>
    <t>Proportion of pCa 4.5</t>
  </si>
  <si>
    <t>Total Volume (mL)</t>
  </si>
  <si>
    <t>Volume of pCa 9.0 (mL)</t>
  </si>
  <si>
    <t>Check</t>
  </si>
  <si>
    <t>Volume of pCa 4.5 (mL)</t>
  </si>
  <si>
    <t>Volume to Prepare (mL)</t>
  </si>
  <si>
    <t>Volume Remaining (mL)</t>
  </si>
  <si>
    <t>Amount of 2-mL Vials</t>
  </si>
  <si>
    <t>Volume per 2.0-mL Vial (mL)</t>
  </si>
  <si>
    <t>Amount of 5-mL vials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</si>
</sst>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5"/>
      <name val="Arial"/>
      <family val="2"/>
    </font>
    <font>
      <b/>
      <sz val="14"/>
      <color theme="4"/>
      <name val="Arial"/>
      <family val="2"/>
    </font>
    <font>
      <b/>
      <sz val="16"/>
      <color theme="4"/>
      <name val="Arial"/>
      <family val="2"/>
    </font>
    <font>
      <b/>
      <sz val="14"/>
      <color rgb="FFFF0000"/>
      <name val="Arial"/>
      <family val="2"/>
    </font>
    <font>
      <b/>
      <sz val="11"/>
      <color rgb="FF0070C0"/>
      <name val="Arial"/>
      <family val="2"/>
    </font>
    <font>
      <sz val="11"/>
      <name val="Arial"/>
      <family val="2"/>
    </font>
    <font>
      <sz val="11"/>
      <color theme="2"/>
      <name val="Arial"/>
      <family val="2"/>
    </font>
    <font>
      <sz val="11"/>
      <color theme="2" tint="-9.9978637043366805E-2"/>
      <name val="Arial"/>
      <family val="2"/>
    </font>
    <font>
      <b/>
      <sz val="11"/>
      <name val="Arial"/>
      <family val="2"/>
    </font>
    <font>
      <b/>
      <sz val="11"/>
      <color theme="4"/>
      <name val="Arial"/>
      <family val="2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0" borderId="0" xfId="0" applyFont="1"/>
    <xf numFmtId="0" fontId="10" fillId="0" borderId="0" xfId="0" applyFont="1" applyAlignment="1">
      <alignment horizontal="center"/>
    </xf>
    <xf numFmtId="0" fontId="14" fillId="0" borderId="0" xfId="0" applyFont="1"/>
    <xf numFmtId="0" fontId="7" fillId="0" borderId="0" xfId="0" applyFont="1"/>
    <xf numFmtId="0" fontId="16" fillId="0" borderId="1" xfId="0" applyFont="1" applyBorder="1"/>
    <xf numFmtId="0" fontId="17" fillId="0" borderId="1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1" fontId="1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5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17" fillId="0" borderId="0" xfId="0" applyFont="1"/>
    <xf numFmtId="11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8" fillId="7" borderId="1" xfId="0" applyFont="1" applyFill="1" applyBorder="1"/>
    <xf numFmtId="0" fontId="5" fillId="7" borderId="3" xfId="0" applyFont="1" applyFill="1" applyBorder="1"/>
    <xf numFmtId="0" fontId="5" fillId="7" borderId="4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7" borderId="7" xfId="0" applyFont="1" applyFill="1" applyBorder="1"/>
    <xf numFmtId="0" fontId="5" fillId="7" borderId="8" xfId="0" applyFont="1" applyFill="1" applyBorder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11" fontId="5" fillId="2" borderId="1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1" fontId="5" fillId="0" borderId="1" xfId="0" applyNumberFormat="1" applyFont="1" applyBorder="1" applyAlignment="1">
      <alignment vertical="center"/>
    </xf>
    <xf numFmtId="2" fontId="5" fillId="0" borderId="0" xfId="0" applyNumberFormat="1" applyFont="1"/>
    <xf numFmtId="1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49" fontId="9" fillId="5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ton, Austin T." id="{A975C01A-270B-4C30-9B89-60008A1C0F34}" userId="S::atmi229@uky.edu::71f795bf-c635-4070-a0e5-2ffa30aa9f5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6-01-27T20:32:57.99" personId="{A975C01A-270B-4C30-9B89-60008A1C0F34}" id="{DA7A69C7-0FD7-4ACF-A19E-F1E72095D0EB}">
    <text>Calculation: Corrected MW * Concentration
Rounded to 4 decimal places</text>
  </threadedComment>
  <threadedComment ref="E6" dT="2026-01-27T19:18:27.22" personId="{A975C01A-270B-4C30-9B89-60008A1C0F34}" id="{79BBE04A-5438-4E19-95E9-080265C2168A}">
    <text>Molecular Weight
Obtain this from the Certificate of Analysis (COA) for the given compound. This should match the corresponding catalog AND lot numbers.</text>
  </threadedComment>
  <threadedComment ref="F6" dT="2026-01-27T19:20:28.76" personId="{A975C01A-270B-4C30-9B89-60008A1C0F34}" id="{AF91FCCA-091C-472F-87CC-4BB9EDADF3AA}">
    <text>Obtain this from the Certificate of Analysis (COA) for the given compound. This should match the corresponding catalog AND lot numbers.</text>
  </threadedComment>
  <threadedComment ref="G6" dT="2026-01-27T19:21:45.90" personId="{A975C01A-270B-4C30-9B89-60008A1C0F34}" id="{AEEBBD03-16DD-48A2-A699-CD21FA28B309}">
    <text>Molecular Weight
Calculation: (MW / Purity) * 100</text>
  </threadedComment>
  <threadedComment ref="H6" dT="2026-01-27T19:17:29.11" personId="{A975C01A-270B-4C30-9B89-60008A1C0F34}" id="{443A5421-B752-488F-8588-3FAFD22A384B}">
    <text>See calculations in MaxChelator output file</text>
  </threadedComment>
  <threadedComment ref="G13" dT="2026-01-27T19:34:49.39" personId="{A975C01A-270B-4C30-9B89-60008A1C0F34}" id="{65FE7A6A-0406-4DC0-9959-27C16D1ACEC1}">
    <text>Obtain from corresponding COA.</text>
  </threadedComment>
  <threadedComment ref="G14" dT="2026-01-27T19:35:25.34" personId="{A975C01A-270B-4C30-9B89-60008A1C0F34}" id="{CA7C81D0-5B71-4F60-A590-BCDE3834BA76}">
    <text>We should have stocks in the 4C fridge with this concentration denoted on the label.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2-01T21:27:06.46" personId="{A975C01A-270B-4C30-9B89-60008A1C0F34}" id="{4D0D9703-797D-43EE-A518-00523C1F5179}">
    <text>The relative proportion of pCa 9.0 in the total volume of the corresponding pCa solution (column A).</text>
  </threadedComment>
  <threadedComment ref="C3" dT="2026-02-01T21:27:16.52" personId="{A975C01A-270B-4C30-9B89-60008A1C0F34}" id="{9F1E1399-01C9-4913-8CEC-F822C81323F9}">
    <text>The relative proportion of pCa 4.5 in the total volume of the corresponding pCa solution (column A).</text>
  </threadedComment>
  <threadedComment ref="D3" dT="2026-02-01T21:27:47.41" personId="{A975C01A-270B-4C30-9B89-60008A1C0F34}" id="{660DA3A3-AC7B-40C8-A047-00A7E6F6B0DA}">
    <text>Predetermined amount of vials planned to be made for each pCa solution.</text>
  </threadedComment>
  <threadedComment ref="F3" dT="2026-02-01T21:28:38.98" personId="{A975C01A-270B-4C30-9B89-60008A1C0F34}" id="{C01D0FA5-B040-46D1-95B2-551522A0C7C0}">
    <text>Amount of 2-mL Vials * Volume per 2.0-mL Vial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B885-84A9-4636-8F7B-D7A273BC960B}">
  <sheetPr>
    <pageSetUpPr fitToPage="1"/>
  </sheetPr>
  <dimension ref="A1:Z47"/>
  <sheetViews>
    <sheetView tabSelected="1" zoomScaleNormal="100" workbookViewId="0">
      <selection activeCell="J37" sqref="J37"/>
    </sheetView>
  </sheetViews>
  <sheetFormatPr defaultColWidth="8.81640625" defaultRowHeight="14" x14ac:dyDescent="0.3"/>
  <cols>
    <col min="1" max="1" width="19" style="17" customWidth="1"/>
    <col min="2" max="2" width="10.1796875" style="1" bestFit="1" customWidth="1"/>
    <col min="3" max="4" width="13.453125" style="1" bestFit="1" customWidth="1"/>
    <col min="5" max="5" width="11.1796875" style="1" bestFit="1" customWidth="1"/>
    <col min="6" max="6" width="10" style="1" bestFit="1" customWidth="1"/>
    <col min="7" max="7" width="20.54296875" style="1" bestFit="1" customWidth="1"/>
    <col min="8" max="8" width="17.26953125" style="1" customWidth="1"/>
    <col min="9" max="9" width="13.54296875" style="1" bestFit="1" customWidth="1"/>
    <col min="10" max="10" width="4.81640625" style="1" customWidth="1"/>
    <col min="11" max="11" width="13.453125" style="1" customWidth="1"/>
    <col min="12" max="12" width="4.54296875" style="1" bestFit="1" customWidth="1"/>
    <col min="13" max="13" width="14.1796875" style="1" customWidth="1"/>
    <col min="14" max="14" width="4.54296875" style="1" bestFit="1" customWidth="1"/>
    <col min="15" max="15" width="12.81640625" style="1" customWidth="1"/>
    <col min="16" max="16" width="4.54296875" style="1" bestFit="1" customWidth="1"/>
    <col min="17" max="17" width="15.26953125" style="1" customWidth="1"/>
    <col min="18" max="18" width="17.54296875" style="1" bestFit="1" customWidth="1"/>
    <col min="19" max="22" width="8.81640625" style="1"/>
    <col min="23" max="24" width="12" style="1" bestFit="1" customWidth="1"/>
    <col min="25" max="16384" width="8.81640625" style="1"/>
  </cols>
  <sheetData>
    <row r="1" spans="1:26" ht="17.5" customHeight="1" x14ac:dyDescent="0.35">
      <c r="A1" s="40" t="s">
        <v>0</v>
      </c>
      <c r="B1" s="62" t="s">
        <v>1</v>
      </c>
      <c r="C1" s="63"/>
      <c r="D1" s="64"/>
      <c r="E1" s="17"/>
      <c r="F1" s="17"/>
      <c r="G1" s="17"/>
      <c r="H1" s="47"/>
      <c r="I1" s="47"/>
      <c r="J1" s="47"/>
      <c r="K1" s="47"/>
      <c r="L1" s="47"/>
      <c r="M1" s="4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5" x14ac:dyDescent="0.35">
      <c r="A2" s="41" t="s">
        <v>2</v>
      </c>
      <c r="B2" s="65"/>
      <c r="C2" s="65"/>
      <c r="D2" s="65"/>
      <c r="E2" s="17"/>
      <c r="F2" s="17"/>
      <c r="G2" s="17"/>
      <c r="H2" s="47"/>
      <c r="I2" s="47"/>
      <c r="J2" s="47"/>
      <c r="K2" s="47"/>
      <c r="L2" s="47"/>
      <c r="M2" s="4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5" x14ac:dyDescent="0.35">
      <c r="A3" s="41" t="s">
        <v>3</v>
      </c>
      <c r="B3" s="66"/>
      <c r="C3" s="66"/>
      <c r="D3" s="66"/>
      <c r="E3" s="17"/>
      <c r="F3" s="17"/>
      <c r="G3" s="17"/>
      <c r="H3" s="47"/>
      <c r="I3" s="47"/>
      <c r="J3" s="47"/>
      <c r="K3" s="47"/>
      <c r="L3" s="47"/>
      <c r="M3" s="4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8" x14ac:dyDescent="0.4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2"/>
      <c r="S4" s="2"/>
      <c r="T4" s="2"/>
      <c r="U4" s="2"/>
      <c r="V4" s="17"/>
      <c r="W4" s="17"/>
      <c r="X4" s="17"/>
      <c r="Y4" s="17"/>
      <c r="Z4" s="17"/>
    </row>
    <row r="5" spans="1:26" ht="18" x14ac:dyDescent="0.3">
      <c r="A5" s="80" t="s">
        <v>4</v>
      </c>
      <c r="B5" s="81"/>
      <c r="C5" s="81"/>
      <c r="D5" s="81"/>
      <c r="E5" s="81"/>
      <c r="F5" s="81"/>
      <c r="G5" s="81"/>
      <c r="H5" s="82"/>
      <c r="I5" s="75" t="s">
        <v>5</v>
      </c>
      <c r="J5" s="77" t="s">
        <v>6</v>
      </c>
      <c r="K5" s="79" t="s">
        <v>7</v>
      </c>
      <c r="L5" s="77" t="s">
        <v>6</v>
      </c>
      <c r="M5" s="75" t="s">
        <v>8</v>
      </c>
      <c r="N5" s="77" t="s">
        <v>6</v>
      </c>
      <c r="O5" s="75" t="s">
        <v>9</v>
      </c>
      <c r="P5" s="77" t="s">
        <v>6</v>
      </c>
      <c r="Q5" s="75" t="s">
        <v>10</v>
      </c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42" t="s">
        <v>11</v>
      </c>
      <c r="B6" s="42" t="s">
        <v>12</v>
      </c>
      <c r="C6" s="42" t="s">
        <v>13</v>
      </c>
      <c r="D6" s="42" t="s">
        <v>14</v>
      </c>
      <c r="E6" s="48" t="s">
        <v>15</v>
      </c>
      <c r="F6" s="48" t="s">
        <v>16</v>
      </c>
      <c r="G6" s="48" t="s">
        <v>17</v>
      </c>
      <c r="H6" s="48" t="s">
        <v>18</v>
      </c>
      <c r="I6" s="76"/>
      <c r="J6" s="78"/>
      <c r="K6" s="79"/>
      <c r="L6" s="78"/>
      <c r="M6" s="76"/>
      <c r="N6" s="78"/>
      <c r="O6" s="76"/>
      <c r="P6" s="78"/>
      <c r="Q6" s="76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">
      <c r="A7" s="42" t="s">
        <v>19</v>
      </c>
      <c r="B7" s="42"/>
      <c r="C7" s="60"/>
      <c r="D7" s="49"/>
      <c r="E7" s="48"/>
      <c r="F7" s="48"/>
      <c r="G7" s="48" t="e">
        <f t="shared" ref="G7:G12" si="0">(E7/F7)*100</f>
        <v>#DIV/0!</v>
      </c>
      <c r="H7" s="50">
        <v>7.0000000000000001E-3</v>
      </c>
      <c r="I7" s="43" t="e">
        <f t="shared" ref="I7:I11" si="1">ROUND(G7*H7,4)</f>
        <v>#DIV/0!</v>
      </c>
      <c r="J7" s="16" t="s">
        <v>20</v>
      </c>
      <c r="K7" s="43" t="e">
        <f t="shared" ref="K7:K14" si="2">ROUND(I7/2,4)</f>
        <v>#DIV/0!</v>
      </c>
      <c r="L7" s="16" t="s">
        <v>20</v>
      </c>
      <c r="M7" s="43" t="e">
        <f t="shared" ref="M7:M14" si="3">ROUND(I7/4,4)</f>
        <v>#DIV/0!</v>
      </c>
      <c r="N7" s="16" t="s">
        <v>20</v>
      </c>
      <c r="O7" s="43" t="e">
        <f t="shared" ref="O7:O14" si="4">ROUND(I7/10,4)</f>
        <v>#DIV/0!</v>
      </c>
      <c r="P7" s="16" t="s">
        <v>20</v>
      </c>
      <c r="Q7" s="16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42" t="s">
        <v>21</v>
      </c>
      <c r="B8" s="42"/>
      <c r="C8" s="60"/>
      <c r="D8" s="57"/>
      <c r="E8" s="48"/>
      <c r="F8" s="51"/>
      <c r="G8" s="48" t="e">
        <f t="shared" si="0"/>
        <v>#DIV/0!</v>
      </c>
      <c r="H8" s="50">
        <v>0.05</v>
      </c>
      <c r="I8" s="43" t="e">
        <f t="shared" si="1"/>
        <v>#DIV/0!</v>
      </c>
      <c r="J8" s="16" t="s">
        <v>20</v>
      </c>
      <c r="K8" s="43" t="e">
        <f t="shared" si="2"/>
        <v>#DIV/0!</v>
      </c>
      <c r="L8" s="16" t="s">
        <v>20</v>
      </c>
      <c r="M8" s="43" t="e">
        <f t="shared" si="3"/>
        <v>#DIV/0!</v>
      </c>
      <c r="N8" s="16" t="s">
        <v>20</v>
      </c>
      <c r="O8" s="43" t="e">
        <f t="shared" si="4"/>
        <v>#DIV/0!</v>
      </c>
      <c r="P8" s="16" t="s">
        <v>20</v>
      </c>
      <c r="Q8" s="16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42" t="s">
        <v>22</v>
      </c>
      <c r="B9" s="42"/>
      <c r="C9" s="49"/>
      <c r="D9" s="49"/>
      <c r="E9" s="48"/>
      <c r="F9" s="48"/>
      <c r="G9" s="48" t="e">
        <f t="shared" si="0"/>
        <v>#DIV/0!</v>
      </c>
      <c r="H9" s="50">
        <v>4.8000000000000001E-2</v>
      </c>
      <c r="I9" s="43" t="e">
        <f t="shared" si="1"/>
        <v>#DIV/0!</v>
      </c>
      <c r="J9" s="16" t="s">
        <v>20</v>
      </c>
      <c r="K9" s="43" t="e">
        <f t="shared" si="2"/>
        <v>#DIV/0!</v>
      </c>
      <c r="L9" s="16" t="s">
        <v>20</v>
      </c>
      <c r="M9" s="43" t="e">
        <f t="shared" si="3"/>
        <v>#DIV/0!</v>
      </c>
      <c r="N9" s="16" t="s">
        <v>20</v>
      </c>
      <c r="O9" s="43" t="e">
        <f t="shared" si="4"/>
        <v>#DIV/0!</v>
      </c>
      <c r="P9" s="16" t="s">
        <v>20</v>
      </c>
      <c r="Q9" s="16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">
      <c r="A10" s="42" t="s">
        <v>23</v>
      </c>
      <c r="B10" s="42"/>
      <c r="C10" s="49"/>
      <c r="D10" s="49"/>
      <c r="E10" s="48"/>
      <c r="F10" s="48"/>
      <c r="G10" s="48" t="e">
        <f t="shared" si="0"/>
        <v>#DIV/0!</v>
      </c>
      <c r="H10" s="50">
        <v>1.4500000000000001E-2</v>
      </c>
      <c r="I10" s="43" t="e">
        <f t="shared" si="1"/>
        <v>#DIV/0!</v>
      </c>
      <c r="J10" s="16" t="s">
        <v>20</v>
      </c>
      <c r="K10" s="43" t="e">
        <f t="shared" si="2"/>
        <v>#DIV/0!</v>
      </c>
      <c r="L10" s="16" t="s">
        <v>20</v>
      </c>
      <c r="M10" s="43" t="e">
        <f t="shared" si="3"/>
        <v>#DIV/0!</v>
      </c>
      <c r="N10" s="16" t="s">
        <v>20</v>
      </c>
      <c r="O10" s="43" t="e">
        <f t="shared" si="4"/>
        <v>#DIV/0!</v>
      </c>
      <c r="P10" s="16" t="s">
        <v>20</v>
      </c>
      <c r="Q10" s="16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">
      <c r="A11" s="42" t="s">
        <v>24</v>
      </c>
      <c r="B11" s="42"/>
      <c r="C11" s="49"/>
      <c r="D11" s="61"/>
      <c r="E11" s="48"/>
      <c r="F11" s="48"/>
      <c r="G11" s="48" t="e">
        <f t="shared" si="0"/>
        <v>#DIV/0!</v>
      </c>
      <c r="H11" s="50">
        <v>4.5799999999999999E-3</v>
      </c>
      <c r="I11" s="43" t="e">
        <f t="shared" si="1"/>
        <v>#DIV/0!</v>
      </c>
      <c r="J11" s="16" t="s">
        <v>20</v>
      </c>
      <c r="K11" s="43" t="e">
        <f t="shared" si="2"/>
        <v>#DIV/0!</v>
      </c>
      <c r="L11" s="16" t="s">
        <v>20</v>
      </c>
      <c r="M11" s="43" t="e">
        <f t="shared" si="3"/>
        <v>#DIV/0!</v>
      </c>
      <c r="N11" s="16" t="s">
        <v>20</v>
      </c>
      <c r="O11" s="43" t="e">
        <f t="shared" si="4"/>
        <v>#DIV/0!</v>
      </c>
      <c r="P11" s="16" t="s">
        <v>20</v>
      </c>
      <c r="Q11" s="16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">
      <c r="A12" s="42" t="s">
        <v>25</v>
      </c>
      <c r="B12" s="42"/>
      <c r="C12" s="49"/>
      <c r="D12" s="49"/>
      <c r="E12" s="52"/>
      <c r="F12" s="48"/>
      <c r="G12" s="48" t="e">
        <f t="shared" si="0"/>
        <v>#DIV/0!</v>
      </c>
      <c r="H12" s="53">
        <v>1E-3</v>
      </c>
      <c r="I12" s="43" t="e">
        <f>ROUND(G12*H12,4)</f>
        <v>#DIV/0!</v>
      </c>
      <c r="J12" s="16" t="s">
        <v>20</v>
      </c>
      <c r="K12" s="43" t="e">
        <f t="shared" si="2"/>
        <v>#DIV/0!</v>
      </c>
      <c r="L12" s="16" t="s">
        <v>20</v>
      </c>
      <c r="M12" s="43" t="e">
        <f t="shared" si="3"/>
        <v>#DIV/0!</v>
      </c>
      <c r="N12" s="16" t="s">
        <v>20</v>
      </c>
      <c r="O12" s="43" t="e">
        <f t="shared" si="4"/>
        <v>#DIV/0!</v>
      </c>
      <c r="P12" s="16" t="s">
        <v>20</v>
      </c>
      <c r="Q12" s="8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">
      <c r="A13" s="58" t="s">
        <v>26</v>
      </c>
      <c r="B13" s="58"/>
      <c r="C13" s="59"/>
      <c r="D13" s="59"/>
      <c r="E13" s="71" t="s">
        <v>27</v>
      </c>
      <c r="F13" s="71"/>
      <c r="G13" s="13"/>
      <c r="H13" s="10">
        <v>1.8600000000000001E-5</v>
      </c>
      <c r="I13" s="15" t="e">
        <f>ROUND(((H13*1)/G13)*1000000,4)</f>
        <v>#DIV/0!</v>
      </c>
      <c r="J13" s="9" t="s">
        <v>28</v>
      </c>
      <c r="K13" s="15" t="e">
        <f t="shared" si="2"/>
        <v>#DIV/0!</v>
      </c>
      <c r="L13" s="9" t="s">
        <v>28</v>
      </c>
      <c r="M13" s="15" t="e">
        <f t="shared" si="3"/>
        <v>#DIV/0!</v>
      </c>
      <c r="N13" s="9" t="s">
        <v>28</v>
      </c>
      <c r="O13" s="15" t="e">
        <f t="shared" si="4"/>
        <v>#DIV/0!</v>
      </c>
      <c r="P13" s="9" t="s">
        <v>28</v>
      </c>
      <c r="Q13" s="14"/>
      <c r="R13" s="3"/>
      <c r="S13" s="17"/>
      <c r="T13" s="17"/>
      <c r="U13" s="17"/>
      <c r="V13" s="17"/>
      <c r="W13" s="20"/>
      <c r="X13" s="17"/>
      <c r="Y13" s="17"/>
      <c r="Z13" s="17"/>
    </row>
    <row r="14" spans="1:26" x14ac:dyDescent="0.3">
      <c r="A14" s="42" t="s">
        <v>29</v>
      </c>
      <c r="B14" s="42" t="s">
        <v>30</v>
      </c>
      <c r="C14" s="49" t="s">
        <v>31</v>
      </c>
      <c r="D14" s="49" t="s">
        <v>31</v>
      </c>
      <c r="E14" s="71" t="s">
        <v>27</v>
      </c>
      <c r="F14" s="71"/>
      <c r="G14" s="13">
        <v>0.5</v>
      </c>
      <c r="H14" s="10">
        <v>5.6800000000000002E-3</v>
      </c>
      <c r="I14" s="15">
        <f>ROUND(((H14*1)/G14)*1000,4)</f>
        <v>11.36</v>
      </c>
      <c r="J14" s="9" t="s">
        <v>32</v>
      </c>
      <c r="K14" s="15">
        <f t="shared" si="2"/>
        <v>5.68</v>
      </c>
      <c r="L14" s="9" t="s">
        <v>32</v>
      </c>
      <c r="M14" s="15">
        <f t="shared" si="3"/>
        <v>2.84</v>
      </c>
      <c r="N14" s="9" t="s">
        <v>32</v>
      </c>
      <c r="O14" s="15">
        <f t="shared" si="4"/>
        <v>1.1359999999999999</v>
      </c>
      <c r="P14" s="9" t="s">
        <v>32</v>
      </c>
      <c r="Q14" s="8"/>
      <c r="R14" s="3"/>
      <c r="S14" s="17"/>
      <c r="T14" s="17"/>
      <c r="U14" s="17"/>
      <c r="V14" s="17"/>
      <c r="W14" s="20"/>
      <c r="X14" s="17"/>
      <c r="Y14" s="17"/>
      <c r="Z14" s="54"/>
    </row>
    <row r="15" spans="1:26" x14ac:dyDescent="0.3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3"/>
      <c r="S15" s="17"/>
      <c r="T15" s="17"/>
      <c r="U15" s="17"/>
      <c r="V15" s="17"/>
      <c r="W15" s="20"/>
      <c r="X15" s="17"/>
      <c r="Y15" s="17"/>
      <c r="Z15" s="54"/>
    </row>
    <row r="16" spans="1:26" x14ac:dyDescent="0.3">
      <c r="A16" s="43" t="s">
        <v>33</v>
      </c>
      <c r="B16" s="43"/>
      <c r="C16" s="17"/>
      <c r="D16" s="11" t="s">
        <v>34</v>
      </c>
      <c r="E16" s="69" t="s">
        <v>35</v>
      </c>
      <c r="F16" s="69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18" x14ac:dyDescent="0.3">
      <c r="A17" s="43" t="s">
        <v>36</v>
      </c>
      <c r="B17" s="43"/>
      <c r="C17" s="17"/>
      <c r="D17" s="16">
        <v>7</v>
      </c>
      <c r="E17" s="70">
        <v>37</v>
      </c>
      <c r="F17" s="70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x14ac:dyDescent="0.3">
      <c r="A18" s="43" t="s">
        <v>37</v>
      </c>
      <c r="B18" s="4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2.15" customHeight="1" x14ac:dyDescent="0.3">
      <c r="A19" s="67" t="s">
        <v>38</v>
      </c>
      <c r="B19" s="6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2" spans="1:18" ht="21" customHeight="1" x14ac:dyDescent="0.3">
      <c r="A22" s="72" t="s">
        <v>39</v>
      </c>
      <c r="B22" s="73"/>
      <c r="C22" s="73"/>
      <c r="D22" s="73"/>
      <c r="E22" s="73"/>
      <c r="F22" s="73"/>
      <c r="G22" s="73"/>
      <c r="H22" s="74"/>
      <c r="I22" s="75" t="s">
        <v>40</v>
      </c>
      <c r="J22" s="77" t="s">
        <v>6</v>
      </c>
      <c r="K22" s="75" t="s">
        <v>41</v>
      </c>
      <c r="L22" s="77" t="s">
        <v>6</v>
      </c>
      <c r="M22" s="75" t="s">
        <v>42</v>
      </c>
      <c r="N22" s="77" t="s">
        <v>6</v>
      </c>
      <c r="O22" s="75" t="s">
        <v>43</v>
      </c>
      <c r="P22" s="77" t="s">
        <v>6</v>
      </c>
      <c r="Q22" s="75" t="s">
        <v>10</v>
      </c>
      <c r="R22" s="17"/>
    </row>
    <row r="23" spans="1:18" x14ac:dyDescent="0.3">
      <c r="A23" s="42" t="str">
        <f t="shared" ref="A23:H23" si="5">A6</f>
        <v xml:space="preserve">Compound </v>
      </c>
      <c r="B23" s="42" t="str">
        <f t="shared" si="5"/>
        <v xml:space="preserve">Company </v>
      </c>
      <c r="C23" s="42" t="str">
        <f t="shared" si="5"/>
        <v>Catalog #</v>
      </c>
      <c r="D23" s="42" t="str">
        <f t="shared" si="5"/>
        <v xml:space="preserve">Lot # </v>
      </c>
      <c r="E23" s="48" t="str">
        <f t="shared" si="5"/>
        <v>MW (g/mol)</v>
      </c>
      <c r="F23" s="48" t="str">
        <f t="shared" si="5"/>
        <v xml:space="preserve">Purity (%) </v>
      </c>
      <c r="G23" s="48" t="str">
        <f t="shared" si="5"/>
        <v>Corrected MW (g/mol)</v>
      </c>
      <c r="H23" s="48" t="str">
        <f t="shared" si="5"/>
        <v>Concentration (M)</v>
      </c>
      <c r="I23" s="76"/>
      <c r="J23" s="78"/>
      <c r="K23" s="76"/>
      <c r="L23" s="78"/>
      <c r="M23" s="76"/>
      <c r="N23" s="78"/>
      <c r="O23" s="76"/>
      <c r="P23" s="78"/>
      <c r="Q23" s="76"/>
      <c r="R23" s="17"/>
    </row>
    <row r="24" spans="1:18" x14ac:dyDescent="0.3">
      <c r="A24" s="42" t="str">
        <f t="shared" ref="A24:A31" si="6">A7</f>
        <v xml:space="preserve">EGTA </v>
      </c>
      <c r="B24" s="42">
        <f t="shared" ref="B24:F28" si="7">B7</f>
        <v>0</v>
      </c>
      <c r="C24" s="49">
        <f t="shared" si="7"/>
        <v>0</v>
      </c>
      <c r="D24" s="42">
        <f t="shared" si="7"/>
        <v>0</v>
      </c>
      <c r="E24" s="48">
        <f t="shared" si="7"/>
        <v>0</v>
      </c>
      <c r="F24" s="48">
        <f t="shared" si="7"/>
        <v>0</v>
      </c>
      <c r="G24" s="48" t="e">
        <f t="shared" ref="G24:G31" si="8">G7</f>
        <v>#DIV/0!</v>
      </c>
      <c r="H24" s="50">
        <v>7.0000000000000001E-3</v>
      </c>
      <c r="I24" s="43" t="e">
        <f t="shared" ref="I24:I29" si="9">ROUND(G24*H24,4)</f>
        <v>#DIV/0!</v>
      </c>
      <c r="J24" s="16" t="s">
        <v>20</v>
      </c>
      <c r="K24" s="43" t="e">
        <f t="shared" ref="K24:K31" si="10">ROUND(I24/2,4)</f>
        <v>#DIV/0!</v>
      </c>
      <c r="L24" s="16" t="s">
        <v>20</v>
      </c>
      <c r="M24" s="43" t="e">
        <f t="shared" ref="M24:M31" si="11">ROUND(I24/4,4)</f>
        <v>#DIV/0!</v>
      </c>
      <c r="N24" s="16" t="s">
        <v>20</v>
      </c>
      <c r="O24" s="43" t="e">
        <f t="shared" ref="O24:O31" si="12">ROUND(I24/10,4)</f>
        <v>#DIV/0!</v>
      </c>
      <c r="P24" s="16" t="s">
        <v>20</v>
      </c>
      <c r="Q24" s="43"/>
      <c r="R24" s="17"/>
    </row>
    <row r="25" spans="1:18" x14ac:dyDescent="0.3">
      <c r="A25" s="42" t="str">
        <f t="shared" si="6"/>
        <v>BES</v>
      </c>
      <c r="B25" s="42">
        <f t="shared" si="7"/>
        <v>0</v>
      </c>
      <c r="C25" s="49">
        <f t="shared" si="7"/>
        <v>0</v>
      </c>
      <c r="D25" s="42">
        <f t="shared" si="7"/>
        <v>0</v>
      </c>
      <c r="E25" s="48">
        <f t="shared" si="7"/>
        <v>0</v>
      </c>
      <c r="F25" s="51">
        <f t="shared" si="7"/>
        <v>0</v>
      </c>
      <c r="G25" s="48" t="e">
        <f t="shared" si="8"/>
        <v>#DIV/0!</v>
      </c>
      <c r="H25" s="50">
        <v>0.05</v>
      </c>
      <c r="I25" s="43" t="e">
        <f t="shared" si="9"/>
        <v>#DIV/0!</v>
      </c>
      <c r="J25" s="16" t="s">
        <v>20</v>
      </c>
      <c r="K25" s="43" t="e">
        <f t="shared" si="10"/>
        <v>#DIV/0!</v>
      </c>
      <c r="L25" s="16" t="s">
        <v>20</v>
      </c>
      <c r="M25" s="43" t="e">
        <f t="shared" si="11"/>
        <v>#DIV/0!</v>
      </c>
      <c r="N25" s="16" t="s">
        <v>20</v>
      </c>
      <c r="O25" s="43" t="e">
        <f t="shared" si="12"/>
        <v>#DIV/0!</v>
      </c>
      <c r="P25" s="16" t="s">
        <v>20</v>
      </c>
      <c r="Q25" s="43"/>
      <c r="R25" s="17"/>
    </row>
    <row r="26" spans="1:18" x14ac:dyDescent="0.3">
      <c r="A26" s="42" t="str">
        <f t="shared" si="6"/>
        <v>K Propionate</v>
      </c>
      <c r="B26" s="42">
        <f t="shared" si="7"/>
        <v>0</v>
      </c>
      <c r="C26" s="49">
        <f t="shared" si="7"/>
        <v>0</v>
      </c>
      <c r="D26" s="42">
        <f t="shared" si="7"/>
        <v>0</v>
      </c>
      <c r="E26" s="48">
        <f t="shared" si="7"/>
        <v>0</v>
      </c>
      <c r="F26" s="48">
        <f t="shared" si="7"/>
        <v>0</v>
      </c>
      <c r="G26" s="48" t="e">
        <f t="shared" si="8"/>
        <v>#DIV/0!</v>
      </c>
      <c r="H26" s="50">
        <v>3.2000000000000001E-2</v>
      </c>
      <c r="I26" s="43" t="e">
        <f t="shared" si="9"/>
        <v>#DIV/0!</v>
      </c>
      <c r="J26" s="16" t="s">
        <v>20</v>
      </c>
      <c r="K26" s="43" t="e">
        <f t="shared" si="10"/>
        <v>#DIV/0!</v>
      </c>
      <c r="L26" s="16" t="s">
        <v>20</v>
      </c>
      <c r="M26" s="43" t="e">
        <f t="shared" si="11"/>
        <v>#DIV/0!</v>
      </c>
      <c r="N26" s="16" t="s">
        <v>20</v>
      </c>
      <c r="O26" s="43" t="e">
        <f t="shared" si="12"/>
        <v>#DIV/0!</v>
      </c>
      <c r="P26" s="16" t="s">
        <v>20</v>
      </c>
      <c r="Q26" s="43"/>
      <c r="R26" s="4"/>
    </row>
    <row r="27" spans="1:18" x14ac:dyDescent="0.3">
      <c r="A27" s="42" t="str">
        <f t="shared" si="6"/>
        <v xml:space="preserve">Creatine Phosphate </v>
      </c>
      <c r="B27" s="42">
        <f t="shared" si="7"/>
        <v>0</v>
      </c>
      <c r="C27" s="55">
        <f t="shared" si="7"/>
        <v>0</v>
      </c>
      <c r="D27" s="42">
        <f t="shared" si="7"/>
        <v>0</v>
      </c>
      <c r="E27" s="48">
        <f t="shared" si="7"/>
        <v>0</v>
      </c>
      <c r="F27" s="48">
        <f t="shared" si="7"/>
        <v>0</v>
      </c>
      <c r="G27" s="48" t="e">
        <f t="shared" si="8"/>
        <v>#DIV/0!</v>
      </c>
      <c r="H27" s="50">
        <v>1.4500000000000001E-2</v>
      </c>
      <c r="I27" s="43" t="e">
        <f t="shared" si="9"/>
        <v>#DIV/0!</v>
      </c>
      <c r="J27" s="16" t="s">
        <v>20</v>
      </c>
      <c r="K27" s="43" t="e">
        <f t="shared" si="10"/>
        <v>#DIV/0!</v>
      </c>
      <c r="L27" s="16" t="s">
        <v>20</v>
      </c>
      <c r="M27" s="43" t="e">
        <f t="shared" si="11"/>
        <v>#DIV/0!</v>
      </c>
      <c r="N27" s="16" t="s">
        <v>20</v>
      </c>
      <c r="O27" s="43" t="e">
        <f t="shared" si="12"/>
        <v>#DIV/0!</v>
      </c>
      <c r="P27" s="16" t="s">
        <v>20</v>
      </c>
      <c r="Q27" s="43"/>
      <c r="R27" s="17"/>
    </row>
    <row r="28" spans="1:18" x14ac:dyDescent="0.3">
      <c r="A28" s="42" t="str">
        <f t="shared" si="6"/>
        <v xml:space="preserve">ATP </v>
      </c>
      <c r="B28" s="42">
        <f t="shared" si="7"/>
        <v>0</v>
      </c>
      <c r="C28" s="49">
        <f t="shared" si="7"/>
        <v>0</v>
      </c>
      <c r="D28" s="42">
        <f t="shared" si="7"/>
        <v>0</v>
      </c>
      <c r="E28" s="48">
        <f t="shared" si="7"/>
        <v>0</v>
      </c>
      <c r="F28" s="48">
        <f t="shared" si="7"/>
        <v>0</v>
      </c>
      <c r="G28" s="48" t="e">
        <f t="shared" si="8"/>
        <v>#DIV/0!</v>
      </c>
      <c r="H28" s="50">
        <v>4.64E-3</v>
      </c>
      <c r="I28" s="43" t="e">
        <f t="shared" si="9"/>
        <v>#DIV/0!</v>
      </c>
      <c r="J28" s="16" t="s">
        <v>20</v>
      </c>
      <c r="K28" s="43" t="e">
        <f t="shared" si="10"/>
        <v>#DIV/0!</v>
      </c>
      <c r="L28" s="16" t="s">
        <v>20</v>
      </c>
      <c r="M28" s="43" t="e">
        <f t="shared" si="11"/>
        <v>#DIV/0!</v>
      </c>
      <c r="N28" s="16" t="s">
        <v>20</v>
      </c>
      <c r="O28" s="43" t="e">
        <f t="shared" si="12"/>
        <v>#DIV/0!</v>
      </c>
      <c r="P28" s="16" t="s">
        <v>20</v>
      </c>
      <c r="Q28" s="43"/>
      <c r="R28" s="4"/>
    </row>
    <row r="29" spans="1:18" x14ac:dyDescent="0.3">
      <c r="A29" s="42" t="str">
        <f t="shared" si="6"/>
        <v>DTT</v>
      </c>
      <c r="B29" s="42">
        <f>B12</f>
        <v>0</v>
      </c>
      <c r="C29" s="42">
        <f t="shared" ref="C29:F29" si="13">C12</f>
        <v>0</v>
      </c>
      <c r="D29" s="42">
        <f t="shared" si="13"/>
        <v>0</v>
      </c>
      <c r="E29" s="48">
        <f t="shared" si="13"/>
        <v>0</v>
      </c>
      <c r="F29" s="48">
        <f t="shared" si="13"/>
        <v>0</v>
      </c>
      <c r="G29" s="48" t="e">
        <f t="shared" si="8"/>
        <v>#DIV/0!</v>
      </c>
      <c r="H29" s="53">
        <v>1E-3</v>
      </c>
      <c r="I29" s="43" t="e">
        <f t="shared" si="9"/>
        <v>#DIV/0!</v>
      </c>
      <c r="J29" s="16" t="s">
        <v>20</v>
      </c>
      <c r="K29" s="43" t="e">
        <f t="shared" si="10"/>
        <v>#DIV/0!</v>
      </c>
      <c r="L29" s="16" t="s">
        <v>20</v>
      </c>
      <c r="M29" s="43" t="e">
        <f t="shared" si="11"/>
        <v>#DIV/0!</v>
      </c>
      <c r="N29" s="16" t="s">
        <v>20</v>
      </c>
      <c r="O29" s="43" t="e">
        <f t="shared" si="12"/>
        <v>#DIV/0!</v>
      </c>
      <c r="P29" s="16" t="s">
        <v>20</v>
      </c>
      <c r="Q29" s="43"/>
      <c r="R29" s="4"/>
    </row>
    <row r="30" spans="1:18" x14ac:dyDescent="0.3">
      <c r="A30" s="42" t="str">
        <f t="shared" si="6"/>
        <v>CaCl2</v>
      </c>
      <c r="B30" s="42">
        <f>B13</f>
        <v>0</v>
      </c>
      <c r="C30" s="49">
        <f t="shared" ref="C30:E31" si="14">C13</f>
        <v>0</v>
      </c>
      <c r="D30" s="42">
        <f t="shared" si="14"/>
        <v>0</v>
      </c>
      <c r="E30" s="71" t="str">
        <f t="shared" si="14"/>
        <v>concentration (M)</v>
      </c>
      <c r="F30" s="71"/>
      <c r="G30" s="13">
        <f t="shared" si="8"/>
        <v>0</v>
      </c>
      <c r="H30" s="10">
        <v>7.0099999999999997E-3</v>
      </c>
      <c r="I30" s="15" t="e">
        <f>ROUND(((H30*1)/G30)*1000,4)</f>
        <v>#DIV/0!</v>
      </c>
      <c r="J30" s="9" t="s">
        <v>32</v>
      </c>
      <c r="K30" s="15" t="e">
        <f t="shared" si="10"/>
        <v>#DIV/0!</v>
      </c>
      <c r="L30" s="9" t="s">
        <v>32</v>
      </c>
      <c r="M30" s="15" t="e">
        <f t="shared" si="11"/>
        <v>#DIV/0!</v>
      </c>
      <c r="N30" s="9" t="s">
        <v>32</v>
      </c>
      <c r="O30" s="15" t="e">
        <f t="shared" si="12"/>
        <v>#DIV/0!</v>
      </c>
      <c r="P30" s="9" t="s">
        <v>32</v>
      </c>
      <c r="Q30" s="7"/>
      <c r="R30" s="3"/>
    </row>
    <row r="31" spans="1:18" x14ac:dyDescent="0.3">
      <c r="A31" s="42" t="str">
        <f t="shared" si="6"/>
        <v>MgCl2</v>
      </c>
      <c r="B31" s="42" t="str">
        <f>B14</f>
        <v>STOCK</v>
      </c>
      <c r="C31" s="49" t="str">
        <f t="shared" si="14"/>
        <v>N/A</v>
      </c>
      <c r="D31" s="49" t="str">
        <f t="shared" si="14"/>
        <v>N/A</v>
      </c>
      <c r="E31" s="71" t="str">
        <f t="shared" si="14"/>
        <v>concentration (M)</v>
      </c>
      <c r="F31" s="71"/>
      <c r="G31" s="13">
        <f t="shared" si="8"/>
        <v>0.5</v>
      </c>
      <c r="H31" s="10">
        <v>5.2100000000000002E-3</v>
      </c>
      <c r="I31" s="15">
        <f>ROUND(((H31*1)/G31)*1000,4)</f>
        <v>10.42</v>
      </c>
      <c r="J31" s="9" t="s">
        <v>32</v>
      </c>
      <c r="K31" s="15">
        <f t="shared" si="10"/>
        <v>5.21</v>
      </c>
      <c r="L31" s="9" t="s">
        <v>44</v>
      </c>
      <c r="M31" s="15">
        <f t="shared" si="11"/>
        <v>2.605</v>
      </c>
      <c r="N31" s="9" t="s">
        <v>32</v>
      </c>
      <c r="O31" s="15">
        <f t="shared" si="12"/>
        <v>1.042</v>
      </c>
      <c r="P31" s="9" t="s">
        <v>32</v>
      </c>
      <c r="Q31" s="7"/>
      <c r="R31" s="3"/>
    </row>
    <row r="33" spans="1:17" x14ac:dyDescent="0.3">
      <c r="A33" s="43" t="str">
        <f>A16</f>
        <v>Initial pH</v>
      </c>
      <c r="B33" s="43"/>
      <c r="C33" s="17"/>
      <c r="D33" s="11" t="str">
        <f>D16</f>
        <v>Target pH</v>
      </c>
      <c r="E33" s="69" t="str">
        <f>E16</f>
        <v xml:space="preserve">Target Temp. (°C) </v>
      </c>
      <c r="F33" s="6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3">
      <c r="A34" s="43" t="str">
        <f>A17</f>
        <v>Final pH</v>
      </c>
      <c r="B34" s="43"/>
      <c r="C34" s="17"/>
      <c r="D34" s="16">
        <f>D17</f>
        <v>7</v>
      </c>
      <c r="E34" s="70">
        <f>E17</f>
        <v>37</v>
      </c>
      <c r="F34" s="70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3">
      <c r="A35" s="43" t="str">
        <f>A18</f>
        <v>Amount of HCl/KOH</v>
      </c>
      <c r="B35" s="4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17" ht="32.5" customHeight="1" x14ac:dyDescent="0.3">
      <c r="A36" s="67" t="s">
        <v>45</v>
      </c>
      <c r="B36" s="6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9" spans="1:17" x14ac:dyDescent="0.3">
      <c r="A39" s="68" t="s">
        <v>46</v>
      </c>
      <c r="B39" s="68"/>
      <c r="C39" s="68"/>
      <c r="D39" s="68"/>
      <c r="E39" s="68"/>
      <c r="F39" s="68"/>
      <c r="G39" s="68"/>
      <c r="H39" s="68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3">
      <c r="A40" s="68"/>
      <c r="B40" s="68"/>
      <c r="C40" s="68"/>
      <c r="D40" s="68"/>
      <c r="E40" s="68"/>
      <c r="F40" s="68"/>
      <c r="G40" s="68"/>
      <c r="H40" s="68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3">
      <c r="A41" s="68"/>
      <c r="B41" s="68"/>
      <c r="C41" s="68"/>
      <c r="D41" s="68"/>
      <c r="E41" s="68"/>
      <c r="F41" s="68"/>
      <c r="G41" s="68"/>
      <c r="H41" s="68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3">
      <c r="A42" s="68"/>
      <c r="B42" s="68"/>
      <c r="C42" s="68"/>
      <c r="D42" s="68"/>
      <c r="E42" s="68"/>
      <c r="F42" s="68"/>
      <c r="G42" s="68"/>
      <c r="H42" s="68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3">
      <c r="A43" s="68"/>
      <c r="B43" s="68"/>
      <c r="C43" s="68"/>
      <c r="D43" s="68"/>
      <c r="E43" s="68"/>
      <c r="F43" s="68"/>
      <c r="G43" s="68"/>
      <c r="H43" s="68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3">
      <c r="A44" s="68"/>
      <c r="B44" s="68"/>
      <c r="C44" s="68"/>
      <c r="D44" s="68"/>
      <c r="E44" s="68"/>
      <c r="F44" s="68"/>
      <c r="G44" s="68"/>
      <c r="H44" s="68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3">
      <c r="A45" s="68"/>
      <c r="B45" s="68"/>
      <c r="C45" s="68"/>
      <c r="D45" s="68"/>
      <c r="E45" s="68"/>
      <c r="F45" s="68"/>
      <c r="G45" s="68"/>
      <c r="H45" s="68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3">
      <c r="A46" s="68"/>
      <c r="B46" s="68"/>
      <c r="C46" s="68"/>
      <c r="D46" s="68"/>
      <c r="E46" s="68"/>
      <c r="F46" s="68"/>
      <c r="G46" s="68"/>
      <c r="H46" s="68"/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3">
      <c r="A47" s="68"/>
      <c r="B47" s="68"/>
      <c r="C47" s="68"/>
      <c r="D47" s="68"/>
      <c r="E47" s="68"/>
      <c r="F47" s="68"/>
      <c r="G47" s="68"/>
      <c r="H47" s="68"/>
      <c r="I47" s="12"/>
      <c r="J47" s="12"/>
      <c r="K47" s="12"/>
      <c r="L47" s="12"/>
      <c r="M47" s="12"/>
      <c r="N47" s="12"/>
      <c r="O47" s="12"/>
      <c r="P47" s="12"/>
      <c r="Q47" s="12"/>
    </row>
  </sheetData>
  <mergeCells count="34">
    <mergeCell ref="K5:K6"/>
    <mergeCell ref="E13:F13"/>
    <mergeCell ref="E14:F14"/>
    <mergeCell ref="E30:F30"/>
    <mergeCell ref="I5:I6"/>
    <mergeCell ref="J5:J6"/>
    <mergeCell ref="J22:J23"/>
    <mergeCell ref="A5:H5"/>
    <mergeCell ref="I22:I23"/>
    <mergeCell ref="K22:K23"/>
    <mergeCell ref="A19:B19"/>
    <mergeCell ref="Q22:Q23"/>
    <mergeCell ref="N5:N6"/>
    <mergeCell ref="L5:L6"/>
    <mergeCell ref="L22:L23"/>
    <mergeCell ref="N22:N23"/>
    <mergeCell ref="O5:O6"/>
    <mergeCell ref="O22:O23"/>
    <mergeCell ref="P5:P6"/>
    <mergeCell ref="P22:P23"/>
    <mergeCell ref="M5:M6"/>
    <mergeCell ref="Q5:Q6"/>
    <mergeCell ref="M22:M23"/>
    <mergeCell ref="B1:D1"/>
    <mergeCell ref="B2:D2"/>
    <mergeCell ref="B3:D3"/>
    <mergeCell ref="A36:B36"/>
    <mergeCell ref="A39:H47"/>
    <mergeCell ref="E16:F16"/>
    <mergeCell ref="E17:F17"/>
    <mergeCell ref="E33:F33"/>
    <mergeCell ref="E34:F34"/>
    <mergeCell ref="E31:F31"/>
    <mergeCell ref="A22:H22"/>
  </mergeCells>
  <pageMargins left="0.25" right="0.25" top="0.75" bottom="0.75" header="0.3" footer="0.3"/>
  <pageSetup scale="7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5879-A3F5-4999-ADF2-8C2DDFA1ACC5}">
  <dimension ref="A1:K23"/>
  <sheetViews>
    <sheetView workbookViewId="0">
      <selection activeCell="D27" sqref="D27"/>
    </sheetView>
  </sheetViews>
  <sheetFormatPr defaultColWidth="8.7265625" defaultRowHeight="14" x14ac:dyDescent="0.3"/>
  <cols>
    <col min="1" max="1" width="4.453125" style="17" bestFit="1" customWidth="1"/>
    <col min="2" max="3" width="20.1796875" style="17" bestFit="1" customWidth="1"/>
    <col min="4" max="4" width="19.90625" style="17" bestFit="1" customWidth="1"/>
    <col min="5" max="5" width="26.1796875" style="17" bestFit="1" customWidth="1"/>
    <col min="6" max="6" width="17.1796875" style="17" bestFit="1" customWidth="1"/>
    <col min="7" max="7" width="23" style="17" bestFit="1" customWidth="1"/>
    <col min="8" max="8" width="22.7265625" style="17" bestFit="1" customWidth="1"/>
    <col min="9" max="9" width="6.26953125" style="17" bestFit="1" customWidth="1"/>
    <col min="10" max="10" width="22.7265625" style="17" bestFit="1" customWidth="1"/>
    <col min="11" max="11" width="6.26953125" style="17" bestFit="1" customWidth="1"/>
    <col min="12" max="13" width="8.7265625" style="17"/>
    <col min="14" max="14" width="12" style="17" bestFit="1" customWidth="1"/>
    <col min="15" max="16384" width="8.7265625" style="17"/>
  </cols>
  <sheetData>
    <row r="1" spans="1:11" x14ac:dyDescent="0.3">
      <c r="G1" s="83" t="s">
        <v>47</v>
      </c>
      <c r="H1" s="83"/>
      <c r="I1" s="83"/>
      <c r="J1" s="83"/>
      <c r="K1" s="83"/>
    </row>
    <row r="2" spans="1:11" x14ac:dyDescent="0.3">
      <c r="G2" s="83"/>
      <c r="H2" s="83"/>
      <c r="I2" s="83"/>
      <c r="J2" s="83"/>
      <c r="K2" s="83"/>
    </row>
    <row r="3" spans="1:11" x14ac:dyDescent="0.3">
      <c r="A3" s="21" t="s">
        <v>48</v>
      </c>
      <c r="B3" s="22" t="s">
        <v>49</v>
      </c>
      <c r="C3" s="22" t="s">
        <v>50</v>
      </c>
      <c r="D3" s="56" t="s">
        <v>57</v>
      </c>
      <c r="E3" s="56" t="s">
        <v>58</v>
      </c>
      <c r="F3" s="22" t="s">
        <v>51</v>
      </c>
      <c r="G3" s="16" t="s">
        <v>48</v>
      </c>
      <c r="H3" s="23" t="s">
        <v>52</v>
      </c>
      <c r="I3" s="16" t="s">
        <v>53</v>
      </c>
      <c r="J3" s="24" t="s">
        <v>54</v>
      </c>
      <c r="K3" s="16" t="s">
        <v>53</v>
      </c>
    </row>
    <row r="4" spans="1:11" x14ac:dyDescent="0.3">
      <c r="A4" s="22">
        <v>6.6</v>
      </c>
      <c r="B4" s="17">
        <v>0.60104000000000002</v>
      </c>
      <c r="C4" s="17">
        <v>0.39895999999999998</v>
      </c>
      <c r="D4" s="25">
        <v>45</v>
      </c>
      <c r="E4" s="25">
        <v>1.5</v>
      </c>
      <c r="F4" s="25">
        <f>D4*E4</f>
        <v>67.5</v>
      </c>
      <c r="G4" s="26">
        <v>6.6</v>
      </c>
      <c r="H4" s="18">
        <f t="shared" ref="H4:H18" si="0">ROUND(B4*F4,4)</f>
        <v>40.5702</v>
      </c>
      <c r="I4" s="27"/>
      <c r="J4" s="18">
        <f t="shared" ref="J4:J18" si="1">ROUND(F4*C4,4)</f>
        <v>26.9298</v>
      </c>
      <c r="K4" s="18"/>
    </row>
    <row r="5" spans="1:11" x14ac:dyDescent="0.3">
      <c r="A5" s="28">
        <v>6.5</v>
      </c>
      <c r="B5" s="29">
        <v>0.544547</v>
      </c>
      <c r="C5" s="29">
        <v>0.455453</v>
      </c>
      <c r="D5" s="30">
        <v>0</v>
      </c>
      <c r="E5" s="30">
        <v>1.5</v>
      </c>
      <c r="F5" s="30">
        <f t="shared" ref="F5:F18" si="2">D5*E5</f>
        <v>0</v>
      </c>
      <c r="G5" s="31">
        <v>6.5</v>
      </c>
      <c r="H5" s="5">
        <f t="shared" si="0"/>
        <v>0</v>
      </c>
      <c r="I5" s="5"/>
      <c r="J5" s="5">
        <f t="shared" si="1"/>
        <v>0</v>
      </c>
      <c r="K5" s="5"/>
    </row>
    <row r="6" spans="1:11" x14ac:dyDescent="0.3">
      <c r="A6" s="22">
        <v>6.4</v>
      </c>
      <c r="B6" s="17">
        <v>0.48697000000000001</v>
      </c>
      <c r="C6" s="17">
        <v>0.51302999999999999</v>
      </c>
      <c r="D6" s="25">
        <v>45</v>
      </c>
      <c r="E6" s="25">
        <v>1.5</v>
      </c>
      <c r="F6" s="25">
        <f t="shared" si="2"/>
        <v>67.5</v>
      </c>
      <c r="G6" s="26">
        <v>6.4</v>
      </c>
      <c r="H6" s="18">
        <f t="shared" si="0"/>
        <v>32.8705</v>
      </c>
      <c r="I6" s="18"/>
      <c r="J6" s="18">
        <f t="shared" si="1"/>
        <v>34.6295</v>
      </c>
      <c r="K6" s="18"/>
    </row>
    <row r="7" spans="1:11" s="19" customFormat="1" x14ac:dyDescent="0.3">
      <c r="A7" s="32">
        <v>6.3</v>
      </c>
      <c r="B7" s="19">
        <v>0.42981900000000001</v>
      </c>
      <c r="C7" s="19">
        <v>0.57018100000000005</v>
      </c>
      <c r="D7" s="33">
        <v>0</v>
      </c>
      <c r="E7" s="33">
        <v>1.5</v>
      </c>
      <c r="F7" s="33">
        <f t="shared" si="2"/>
        <v>0</v>
      </c>
      <c r="G7" s="34">
        <v>6.3</v>
      </c>
      <c r="H7" s="6">
        <f t="shared" si="0"/>
        <v>0</v>
      </c>
      <c r="I7" s="6"/>
      <c r="J7" s="6">
        <f t="shared" si="1"/>
        <v>0</v>
      </c>
      <c r="K7" s="6"/>
    </row>
    <row r="8" spans="1:11" x14ac:dyDescent="0.3">
      <c r="A8" s="22">
        <v>6.2</v>
      </c>
      <c r="B8" s="17">
        <v>0.374554</v>
      </c>
      <c r="C8" s="17">
        <v>0.62544599999999995</v>
      </c>
      <c r="D8" s="25">
        <v>45</v>
      </c>
      <c r="E8" s="25">
        <v>1.5</v>
      </c>
      <c r="F8" s="25">
        <f t="shared" si="2"/>
        <v>67.5</v>
      </c>
      <c r="G8" s="26">
        <v>6.2</v>
      </c>
      <c r="H8" s="18">
        <f t="shared" si="0"/>
        <v>25.282399999999999</v>
      </c>
      <c r="I8" s="18"/>
      <c r="J8" s="18">
        <f t="shared" si="1"/>
        <v>42.217599999999997</v>
      </c>
      <c r="K8" s="18"/>
    </row>
    <row r="9" spans="1:11" s="19" customFormat="1" x14ac:dyDescent="0.3">
      <c r="A9" s="32">
        <v>6.1</v>
      </c>
      <c r="B9" s="19">
        <v>0.32244499999999998</v>
      </c>
      <c r="C9" s="19">
        <v>0.67755500000000002</v>
      </c>
      <c r="D9" s="33">
        <v>0</v>
      </c>
      <c r="E9" s="33">
        <v>1.5</v>
      </c>
      <c r="F9" s="33">
        <f t="shared" si="2"/>
        <v>0</v>
      </c>
      <c r="G9" s="34">
        <v>6.1</v>
      </c>
      <c r="H9" s="6">
        <f t="shared" si="0"/>
        <v>0</v>
      </c>
      <c r="I9" s="6"/>
      <c r="J9" s="6">
        <f t="shared" si="1"/>
        <v>0</v>
      </c>
      <c r="K9" s="6"/>
    </row>
    <row r="10" spans="1:11" x14ac:dyDescent="0.3">
      <c r="A10" s="22">
        <v>6</v>
      </c>
      <c r="B10" s="17">
        <v>0.27445999999999998</v>
      </c>
      <c r="C10" s="17">
        <v>0.72553999999999996</v>
      </c>
      <c r="D10" s="25">
        <v>45</v>
      </c>
      <c r="E10" s="25">
        <v>1.5</v>
      </c>
      <c r="F10" s="25">
        <f t="shared" si="2"/>
        <v>67.5</v>
      </c>
      <c r="G10" s="26">
        <v>6</v>
      </c>
      <c r="H10" s="18">
        <f t="shared" si="0"/>
        <v>18.5261</v>
      </c>
      <c r="I10" s="18"/>
      <c r="J10" s="18">
        <f t="shared" si="1"/>
        <v>48.973999999999997</v>
      </c>
      <c r="K10" s="18"/>
    </row>
    <row r="11" spans="1:11" s="19" customFormat="1" x14ac:dyDescent="0.3">
      <c r="A11" s="32">
        <v>5.9</v>
      </c>
      <c r="B11" s="19">
        <v>0.23121800000000001</v>
      </c>
      <c r="C11" s="19">
        <v>0.76878199999999997</v>
      </c>
      <c r="D11" s="33">
        <v>0</v>
      </c>
      <c r="E11" s="33">
        <v>1.5</v>
      </c>
      <c r="F11" s="33">
        <f t="shared" si="2"/>
        <v>0</v>
      </c>
      <c r="G11" s="34">
        <v>5.9</v>
      </c>
      <c r="H11" s="6">
        <f t="shared" si="0"/>
        <v>0</v>
      </c>
      <c r="I11" s="6"/>
      <c r="J11" s="6">
        <f t="shared" si="1"/>
        <v>0</v>
      </c>
      <c r="K11" s="6"/>
    </row>
    <row r="12" spans="1:11" x14ac:dyDescent="0.3">
      <c r="A12" s="22">
        <v>5.8</v>
      </c>
      <c r="B12" s="17">
        <v>0.192991</v>
      </c>
      <c r="C12" s="17">
        <v>0.80700899999999998</v>
      </c>
      <c r="D12" s="25">
        <v>45</v>
      </c>
      <c r="E12" s="25">
        <v>1.5</v>
      </c>
      <c r="F12" s="25">
        <f t="shared" si="2"/>
        <v>67.5</v>
      </c>
      <c r="G12" s="26">
        <v>5.8</v>
      </c>
      <c r="H12" s="18">
        <f t="shared" si="0"/>
        <v>13.026899999999999</v>
      </c>
      <c r="I12" s="18"/>
      <c r="J12" s="18">
        <f t="shared" si="1"/>
        <v>54.473100000000002</v>
      </c>
      <c r="K12" s="18"/>
    </row>
    <row r="13" spans="1:11" x14ac:dyDescent="0.3">
      <c r="A13" s="28">
        <v>5.7</v>
      </c>
      <c r="B13" s="29">
        <v>0.15975300000000001</v>
      </c>
      <c r="C13" s="29">
        <v>0.84024699999999997</v>
      </c>
      <c r="D13" s="30">
        <v>0</v>
      </c>
      <c r="E13" s="30">
        <v>1.5</v>
      </c>
      <c r="F13" s="30">
        <f t="shared" si="2"/>
        <v>0</v>
      </c>
      <c r="G13" s="31">
        <v>5.7</v>
      </c>
      <c r="H13" s="5">
        <f t="shared" si="0"/>
        <v>0</v>
      </c>
      <c r="I13" s="5"/>
      <c r="J13" s="5">
        <f t="shared" si="1"/>
        <v>0</v>
      </c>
      <c r="K13" s="5"/>
    </row>
    <row r="14" spans="1:11" x14ac:dyDescent="0.3">
      <c r="A14" s="22">
        <v>5.6</v>
      </c>
      <c r="B14" s="17">
        <v>0.13125100000000001</v>
      </c>
      <c r="C14" s="17">
        <v>0.86874899999999999</v>
      </c>
      <c r="D14" s="25">
        <v>45</v>
      </c>
      <c r="E14" s="25">
        <v>1.5</v>
      </c>
      <c r="F14" s="25">
        <f t="shared" si="2"/>
        <v>67.5</v>
      </c>
      <c r="G14" s="26">
        <v>5.6</v>
      </c>
      <c r="H14" s="18">
        <f t="shared" si="0"/>
        <v>8.8594000000000008</v>
      </c>
      <c r="I14" s="18"/>
      <c r="J14" s="18">
        <f t="shared" si="1"/>
        <v>58.640599999999999</v>
      </c>
      <c r="K14" s="18"/>
    </row>
    <row r="15" spans="1:11" x14ac:dyDescent="0.3">
      <c r="A15" s="28">
        <v>5.5</v>
      </c>
      <c r="B15" s="29">
        <v>0.107076</v>
      </c>
      <c r="C15" s="29">
        <v>0.89292400000000005</v>
      </c>
      <c r="D15" s="30">
        <v>0</v>
      </c>
      <c r="E15" s="30">
        <v>1.5</v>
      </c>
      <c r="F15" s="30">
        <f t="shared" si="2"/>
        <v>0</v>
      </c>
      <c r="G15" s="31">
        <v>5.5</v>
      </c>
      <c r="H15" s="5">
        <f t="shared" si="0"/>
        <v>0</v>
      </c>
      <c r="I15" s="5"/>
      <c r="J15" s="5">
        <f t="shared" si="1"/>
        <v>0</v>
      </c>
      <c r="K15" s="5"/>
    </row>
    <row r="16" spans="1:11" x14ac:dyDescent="0.3">
      <c r="A16" s="22">
        <v>5.4</v>
      </c>
      <c r="B16" s="17">
        <v>8.6738300000000004E-2</v>
      </c>
      <c r="C16" s="17">
        <v>0.91326200000000002</v>
      </c>
      <c r="D16" s="25">
        <v>45</v>
      </c>
      <c r="E16" s="25">
        <v>1.5</v>
      </c>
      <c r="F16" s="25">
        <f t="shared" si="2"/>
        <v>67.5</v>
      </c>
      <c r="G16" s="26">
        <v>5.4</v>
      </c>
      <c r="H16" s="18">
        <f t="shared" si="0"/>
        <v>5.8548</v>
      </c>
      <c r="I16" s="18"/>
      <c r="J16" s="18">
        <f t="shared" si="1"/>
        <v>61.645200000000003</v>
      </c>
      <c r="K16" s="18"/>
    </row>
    <row r="17" spans="1:11" x14ac:dyDescent="0.3">
      <c r="A17" s="28">
        <v>5.2</v>
      </c>
      <c r="B17" s="29">
        <v>5.54879E-2</v>
      </c>
      <c r="C17" s="29">
        <v>0.94451200000000002</v>
      </c>
      <c r="D17" s="30">
        <v>0</v>
      </c>
      <c r="E17" s="30">
        <v>1.5</v>
      </c>
      <c r="F17" s="30">
        <f t="shared" si="2"/>
        <v>0</v>
      </c>
      <c r="G17" s="31">
        <v>5.2</v>
      </c>
      <c r="H17" s="5">
        <f t="shared" si="0"/>
        <v>0</v>
      </c>
      <c r="I17" s="5"/>
      <c r="J17" s="5">
        <f t="shared" si="1"/>
        <v>0</v>
      </c>
      <c r="K17" s="5"/>
    </row>
    <row r="18" spans="1:11" x14ac:dyDescent="0.3">
      <c r="A18" s="22">
        <v>5</v>
      </c>
      <c r="B18" s="17">
        <v>3.3536999999999997E-2</v>
      </c>
      <c r="C18" s="17">
        <v>0.96646299999999996</v>
      </c>
      <c r="D18" s="25">
        <v>45</v>
      </c>
      <c r="E18" s="25">
        <v>1.5</v>
      </c>
      <c r="F18" s="25">
        <f t="shared" si="2"/>
        <v>67.5</v>
      </c>
      <c r="G18" s="26">
        <v>5</v>
      </c>
      <c r="H18" s="18">
        <f t="shared" si="0"/>
        <v>2.2637</v>
      </c>
      <c r="I18" s="18"/>
      <c r="J18" s="18">
        <f t="shared" si="1"/>
        <v>65.2363</v>
      </c>
      <c r="K18" s="18"/>
    </row>
    <row r="19" spans="1:11" x14ac:dyDescent="0.3">
      <c r="A19" s="22"/>
      <c r="D19" s="25"/>
      <c r="E19" s="25"/>
      <c r="F19" s="25"/>
      <c r="G19" s="21"/>
    </row>
    <row r="20" spans="1:11" x14ac:dyDescent="0.3">
      <c r="B20" s="20"/>
      <c r="G20" s="18" t="s">
        <v>51</v>
      </c>
      <c r="H20" s="44">
        <f>SUM(H4:H18)</f>
        <v>147.25399999999999</v>
      </c>
      <c r="I20" s="35"/>
      <c r="J20" s="36">
        <f>SUM(J4:J18)</f>
        <v>392.74609999999996</v>
      </c>
    </row>
    <row r="21" spans="1:11" x14ac:dyDescent="0.3">
      <c r="G21" s="37" t="s">
        <v>55</v>
      </c>
      <c r="H21" s="45">
        <v>250</v>
      </c>
      <c r="I21" s="45"/>
      <c r="J21" s="46">
        <v>500</v>
      </c>
    </row>
    <row r="22" spans="1:11" x14ac:dyDescent="0.3">
      <c r="G22" s="18" t="s">
        <v>56</v>
      </c>
      <c r="H22" s="35">
        <f>H21-H20</f>
        <v>102.74600000000001</v>
      </c>
      <c r="I22" s="35"/>
      <c r="J22" s="36">
        <f>J21-J20</f>
        <v>107.25390000000004</v>
      </c>
    </row>
    <row r="23" spans="1:11" x14ac:dyDescent="0.3">
      <c r="G23" s="37" t="s">
        <v>59</v>
      </c>
      <c r="H23" s="38">
        <f>ROUND(H22/4,0)</f>
        <v>26</v>
      </c>
      <c r="I23" s="38"/>
      <c r="J23" s="39">
        <f>ROUND(J22/4,0)</f>
        <v>27</v>
      </c>
    </row>
  </sheetData>
  <mergeCells count="1">
    <mergeCell ref="G1:K2"/>
  </mergeCells>
  <pageMargins left="0.25" right="0.25" top="0.75" bottom="0.75" header="0.3" footer="0.3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3719E9-DEAC-4857-9162-CA5CC7447214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2.xml><?xml version="1.0" encoding="utf-8"?>
<ds:datastoreItem xmlns:ds="http://schemas.openxmlformats.org/officeDocument/2006/customXml" ds:itemID="{52D65098-2C33-4FDD-98A7-CF5743DF0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793ED-39D3-47CF-943C-26042DE886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</vt:lpstr>
      <vt:lpstr>mixing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Faruk</dc:creator>
  <cp:keywords/>
  <dc:description/>
  <cp:lastModifiedBy>Minton, Austin T.</cp:lastModifiedBy>
  <cp:revision/>
  <dcterms:created xsi:type="dcterms:W3CDTF">2018-07-03T20:59:04Z</dcterms:created>
  <dcterms:modified xsi:type="dcterms:W3CDTF">2026-02-28T17:58:57Z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