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to\Downloads\"/>
    </mc:Choice>
  </mc:AlternateContent>
  <xr:revisionPtr revIDLastSave="0" documentId="13_ncr:1_{4B4837B6-242C-4246-A5F6-CE50AB77689E}" xr6:coauthVersionLast="47" xr6:coauthVersionMax="47" xr10:uidLastSave="{00000000-0000-0000-0000-000000000000}"/>
  <bookViews>
    <workbookView xWindow="-110" yWindow="-110" windowWidth="25820" windowHeight="15500" xr2:uid="{35B91269-FCE3-480F-A828-5F24B063DE69}"/>
  </bookViews>
  <sheets>
    <sheet name="PMSF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" i="3" l="1"/>
  <c r="I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tc={369E0A45-5989-42A4-8D79-147A16C1C891}</author>
    <author>tc={A850CE7E-618C-4770-9A7C-C0054DB1D082}</author>
    <author>tc={E475EC09-648A-48A2-BE56-25D5FA093B44}</author>
    <author>tc={CB97C564-F8F9-490B-B6F0-CC37BD9C51D7}</author>
  </authors>
  <commentList>
    <comment ref="E8" authorId="0" shapeId="0" xr:uid="{369E0A45-5989-42A4-8D79-147A16C1C891}">
      <text>
        <t>[Threaded comment]
Your version of Excel allows you to read this threaded comment; however, any edits to it will get removed if the file is opened in a newer version of Excel. Learn more: https://go.microsoft.com/fwlink/?linkid=870924
Comment:
    Molecular Weight
Obtain this from the Certificate of Analysis (COA) for the given compound. This should match the corresponding catalog AND lot numbers.</t>
      </text>
    </comment>
    <comment ref="F8" authorId="1" shapeId="0" xr:uid="{A850CE7E-618C-4770-9A7C-C0054DB1D082}">
      <text>
        <t>[Threaded comment]
Your version of Excel allows you to read this threaded comment; however, any edits to it will get removed if the file is opened in a newer version of Excel. Learn more: https://go.microsoft.com/fwlink/?linkid=870924
Comment:
    Obtain this from the Certificate of Analysis (COA) for the given compound. This should match the corresponding catalog AND lot numbers.</t>
      </text>
    </comment>
    <comment ref="G8" authorId="2" shapeId="0" xr:uid="{E475EC09-648A-48A2-BE56-25D5FA093B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Molecular Weight
Calculation: (MW / Purity) * 100</t>
      </text>
    </comment>
    <comment ref="I8" authorId="3" shapeId="0" xr:uid="{CB97C564-F8F9-490B-B6F0-CC37BD9C51D7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Calculation: Corrected MW * Concentration
Rounded to 4 decimal places</t>
      </text>
    </comment>
  </commentList>
</comments>
</file>

<file path=xl/sharedStrings.xml><?xml version="1.0" encoding="utf-8"?>
<sst xmlns="http://schemas.openxmlformats.org/spreadsheetml/2006/main" count="24" uniqueCount="24">
  <si>
    <t>Compound</t>
  </si>
  <si>
    <t>Company</t>
  </si>
  <si>
    <t>Catalog #</t>
  </si>
  <si>
    <t>Lot #</t>
  </si>
  <si>
    <t>MW (g/mol)</t>
  </si>
  <si>
    <t>Purity (%)</t>
  </si>
  <si>
    <t>Corrected MW (g/mol)</t>
  </si>
  <si>
    <t>Concentration (M)</t>
  </si>
  <si>
    <t>Unit</t>
  </si>
  <si>
    <t>Amount Added</t>
  </si>
  <si>
    <t>Solution:</t>
  </si>
  <si>
    <t>Made by:</t>
  </si>
  <si>
    <t>Date:</t>
  </si>
  <si>
    <t>Storage temp (C):</t>
  </si>
  <si>
    <t>Storage containers:</t>
  </si>
  <si>
    <t>-20C</t>
  </si>
  <si>
    <t>g</t>
  </si>
  <si>
    <t>PMSF, 100 mM stock in 100% Ethanol</t>
  </si>
  <si>
    <t>200-μL vials</t>
  </si>
  <si>
    <t>PMSF</t>
  </si>
  <si>
    <t>Amount for 0.025 L</t>
  </si>
  <si>
    <t>Volume / storage container:</t>
  </si>
  <si>
    <t>150 μL</t>
  </si>
  <si>
    <t>Aliquot 150 μL of prepared PMSF stock into each 200-μL vial.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</si>
</sst>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3" fillId="0" borderId="0" xfId="0" quotePrefix="1" applyFont="1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5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nton, Austin T." id="{110C919F-B76D-4E85-A607-CF654DBEA081}" userId="S::atmi229@uky.edu::71f795bf-c635-4070-a0e5-2ffa30aa9f5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6-02-28T17:17:31.14" personId="{110C919F-B76D-4E85-A607-CF654DBEA081}" id="{369E0A45-5989-42A4-8D79-147A16C1C891}">
    <text>Molecular Weight
Obtain this from the Certificate of Analysis (COA) for the given compound. This should match the corresponding catalog AND lot numbers.</text>
  </threadedComment>
  <threadedComment ref="F8" dT="2026-02-28T17:17:50.35" personId="{110C919F-B76D-4E85-A607-CF654DBEA081}" id="{A850CE7E-618C-4770-9A7C-C0054DB1D082}">
    <text>Obtain this from the Certificate of Analysis (COA) for the given compound. This should match the corresponding catalog AND lot numbers.</text>
  </threadedComment>
  <threadedComment ref="G8" dT="2026-02-28T17:18:07.62" personId="{110C919F-B76D-4E85-A607-CF654DBEA081}" id="{E475EC09-648A-48A2-BE56-25D5FA093B44}">
    <text>Molecular Weight
Calculation: (MW / Purity) * 100</text>
  </threadedComment>
  <threadedComment ref="I8" dT="2026-02-28T17:19:06.73" personId="{110C919F-B76D-4E85-A607-CF654DBEA081}" id="{CB97C564-F8F9-490B-B6F0-CC37BD9C51D7}">
    <text>Calculation: Corrected MW * Concentration
Rounded to 4 decimal places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A699-F9BE-4598-821B-DF1A7EFBAB3F}">
  <dimension ref="A1:K39"/>
  <sheetViews>
    <sheetView tabSelected="1" workbookViewId="0">
      <selection activeCell="J13" sqref="J13"/>
    </sheetView>
  </sheetViews>
  <sheetFormatPr defaultRowHeight="18" customHeight="1" x14ac:dyDescent="0.3"/>
  <cols>
    <col min="1" max="1" width="27.26953125" style="1" customWidth="1"/>
    <col min="2" max="2" width="11.08984375" style="1" customWidth="1"/>
    <col min="3" max="3" width="11" style="1" customWidth="1"/>
    <col min="4" max="4" width="16.08984375" style="1" customWidth="1"/>
    <col min="5" max="5" width="11.81640625" style="1" bestFit="1" customWidth="1"/>
    <col min="6" max="6" width="11.1796875" style="1" customWidth="1"/>
    <col min="7" max="7" width="21.1796875" style="1" bestFit="1" customWidth="1"/>
    <col min="8" max="8" width="16.7265625" style="1" customWidth="1"/>
    <col min="9" max="9" width="18.54296875" style="1" bestFit="1" customWidth="1"/>
    <col min="10" max="10" width="5.08984375" style="1" bestFit="1" customWidth="1"/>
    <col min="11" max="11" width="15.453125" style="1" customWidth="1"/>
    <col min="12" max="16384" width="8.7265625" style="1"/>
  </cols>
  <sheetData>
    <row r="1" spans="1:11" ht="18" customHeight="1" x14ac:dyDescent="0.3">
      <c r="A1" s="4" t="s">
        <v>10</v>
      </c>
      <c r="B1" s="13" t="s">
        <v>17</v>
      </c>
      <c r="C1" s="13"/>
      <c r="D1" s="13"/>
      <c r="E1" s="3"/>
      <c r="F1" s="3"/>
      <c r="G1" s="3"/>
      <c r="H1" s="3"/>
      <c r="I1" s="3"/>
      <c r="J1" s="3"/>
      <c r="K1" s="3"/>
    </row>
    <row r="2" spans="1:11" ht="18" customHeight="1" x14ac:dyDescent="0.3">
      <c r="A2" s="4" t="s">
        <v>11</v>
      </c>
      <c r="B2" s="13"/>
      <c r="C2" s="13"/>
      <c r="D2" s="13"/>
      <c r="E2" s="3"/>
      <c r="F2" s="3"/>
      <c r="G2" s="3"/>
      <c r="H2" s="3"/>
      <c r="I2" s="3"/>
      <c r="J2" s="3"/>
      <c r="K2" s="3"/>
    </row>
    <row r="3" spans="1:11" ht="18" customHeight="1" x14ac:dyDescent="0.3">
      <c r="A3" s="4" t="s">
        <v>12</v>
      </c>
      <c r="B3" s="18"/>
      <c r="C3" s="13"/>
      <c r="D3" s="13"/>
      <c r="E3" s="3"/>
      <c r="F3" s="3"/>
      <c r="G3" s="3"/>
      <c r="H3" s="3"/>
      <c r="I3" s="3"/>
      <c r="J3" s="3"/>
      <c r="K3" s="3"/>
    </row>
    <row r="4" spans="1:11" ht="18" customHeight="1" x14ac:dyDescent="0.3">
      <c r="A4" s="4" t="s">
        <v>13</v>
      </c>
      <c r="B4" s="15" t="s">
        <v>15</v>
      </c>
      <c r="C4" s="15"/>
      <c r="D4" s="15"/>
      <c r="E4" s="3"/>
      <c r="F4" s="3"/>
      <c r="G4" s="3"/>
      <c r="H4" s="3"/>
      <c r="I4" s="3"/>
      <c r="J4" s="3"/>
      <c r="K4" s="3"/>
    </row>
    <row r="5" spans="1:11" ht="18" customHeight="1" x14ac:dyDescent="0.3">
      <c r="A5" s="4" t="s">
        <v>14</v>
      </c>
      <c r="B5" s="14" t="s">
        <v>18</v>
      </c>
      <c r="C5" s="13"/>
      <c r="D5" s="13"/>
      <c r="E5" s="3"/>
      <c r="F5" s="3"/>
      <c r="G5" s="3"/>
      <c r="H5" s="3"/>
      <c r="I5" s="3"/>
      <c r="J5" s="3"/>
      <c r="K5" s="3"/>
    </row>
    <row r="6" spans="1:11" ht="18" customHeight="1" x14ac:dyDescent="0.3">
      <c r="A6" s="4" t="s">
        <v>21</v>
      </c>
      <c r="B6" s="12" t="s">
        <v>22</v>
      </c>
      <c r="C6" s="13"/>
      <c r="D6" s="13"/>
      <c r="E6" s="3"/>
      <c r="F6" s="3"/>
      <c r="G6" s="3"/>
      <c r="H6" s="3"/>
      <c r="I6" s="3"/>
      <c r="J6" s="3"/>
      <c r="K6" s="3"/>
    </row>
    <row r="7" spans="1:11" ht="18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8" customHeight="1" x14ac:dyDescent="0.3">
      <c r="A8" s="9" t="s">
        <v>0</v>
      </c>
      <c r="B8" s="9" t="s">
        <v>1</v>
      </c>
      <c r="C8" s="9" t="s">
        <v>2</v>
      </c>
      <c r="D8" s="9" t="s">
        <v>3</v>
      </c>
      <c r="E8" s="10" t="s">
        <v>4</v>
      </c>
      <c r="F8" s="10" t="s">
        <v>5</v>
      </c>
      <c r="G8" s="10" t="s">
        <v>6</v>
      </c>
      <c r="H8" s="10" t="s">
        <v>7</v>
      </c>
      <c r="I8" s="10" t="s">
        <v>20</v>
      </c>
      <c r="J8" s="11" t="s">
        <v>8</v>
      </c>
      <c r="K8" s="11" t="s">
        <v>9</v>
      </c>
    </row>
    <row r="9" spans="1:11" ht="18" customHeight="1" x14ac:dyDescent="0.3">
      <c r="A9" s="5" t="s">
        <v>19</v>
      </c>
      <c r="B9" s="5"/>
      <c r="C9" s="5"/>
      <c r="D9" s="5"/>
      <c r="E9" s="6"/>
      <c r="F9" s="6"/>
      <c r="G9" s="6" t="e">
        <f>(E9/F9)*100</f>
        <v>#DIV/0!</v>
      </c>
      <c r="H9" s="6">
        <v>0.1</v>
      </c>
      <c r="I9" s="7" t="e">
        <f>ROUND((G9*H9*0.025), 4)</f>
        <v>#DIV/0!</v>
      </c>
      <c r="J9" s="8" t="s">
        <v>16</v>
      </c>
      <c r="K9" s="7"/>
    </row>
    <row r="10" spans="1:11" ht="18" customHeight="1" thickBot="1" x14ac:dyDescent="0.35"/>
    <row r="11" spans="1:11" ht="40.5" customHeight="1" thickBot="1" x14ac:dyDescent="0.35">
      <c r="A11" s="16" t="s">
        <v>23</v>
      </c>
      <c r="B11" s="17"/>
    </row>
    <row r="23" spans="2:2" ht="18" customHeight="1" x14ac:dyDescent="0.3">
      <c r="B23" s="2"/>
    </row>
    <row r="39" spans="1:11" ht="18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</sheetData>
  <mergeCells count="7">
    <mergeCell ref="A11:B11"/>
    <mergeCell ref="B6:D6"/>
    <mergeCell ref="B1:D1"/>
    <mergeCell ref="B2:D2"/>
    <mergeCell ref="B3:D3"/>
    <mergeCell ref="B4:D4"/>
    <mergeCell ref="B5:D5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f3be83353ccfa5d9c29ca56ec65fe2e2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df6415e384d4ba393971dff6a1b03c62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E89E89-076D-4677-A6BC-E679999C99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74A36C-FB65-4EF3-9BD6-2E59F944CEBD}">
  <ds:schemaRefs>
    <ds:schemaRef ds:uri="http://schemas.microsoft.com/office/2006/metadata/properties"/>
    <ds:schemaRef ds:uri="http://schemas.microsoft.com/office/infopath/2007/PartnerControls"/>
    <ds:schemaRef ds:uri="5d5a2885-0f9b-4d04-9bc1-f867a2376b8a"/>
    <ds:schemaRef ds:uri="6cbc0c5a-d948-46e5-8624-1bad210f77c7"/>
  </ds:schemaRefs>
</ds:datastoreItem>
</file>

<file path=customXml/itemProps3.xml><?xml version="1.0" encoding="utf-8"?>
<ds:datastoreItem xmlns:ds="http://schemas.openxmlformats.org/officeDocument/2006/customXml" ds:itemID="{EB4684C6-F4C3-431A-9C76-FF04B31A38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a2885-0f9b-4d04-9bc1-f867a2376b8a"/>
    <ds:schemaRef ds:uri="6cbc0c5a-d948-46e5-8624-1bad210f7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PMSF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Faruk</dc:creator>
  <cp:keywords/>
  <dc:description/>
  <cp:lastModifiedBy>Minton, Austin T.</cp:lastModifiedBy>
  <cp:revision/>
  <dcterms:created xsi:type="dcterms:W3CDTF">2018-12-09T21:01:42Z</dcterms:created>
  <dcterms:modified xsi:type="dcterms:W3CDTF">2026-02-28T17:50:36Z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  <property fmtid="{D5CDD505-2E9C-101B-9397-08002B2CF9AE}" pid="3" name="MediaServiceImageTags">
    <vt:lpwstr/>
  </property>
</Properties>
</file>