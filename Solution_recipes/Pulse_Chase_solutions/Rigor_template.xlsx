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ku\GitHub\Protocols\Solution_recipes\Pulse_Chase_solutions\"/>
    </mc:Choice>
  </mc:AlternateContent>
  <xr:revisionPtr revIDLastSave="0" documentId="13_ncr:1_{53B997D3-F7AB-4BB8-A04F-E2B34AB2F68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Sheet1!$A$1:$K$15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I9" i="1" s="1"/>
  <c r="G8" i="1"/>
  <c r="I8" i="1" s="1"/>
  <c r="J8" i="1" s="1"/>
  <c r="G5" i="1"/>
  <c r="I5" i="1" s="1"/>
  <c r="G6" i="1"/>
  <c r="I6" i="1" s="1"/>
  <c r="L6" i="1" s="1"/>
  <c r="G7" i="1"/>
  <c r="I10" i="1"/>
  <c r="J10" i="1" s="1"/>
  <c r="K10" i="1" l="1"/>
  <c r="L10" i="1"/>
  <c r="L8" i="1"/>
  <c r="K5" i="1"/>
  <c r="L5" i="1"/>
  <c r="J9" i="1"/>
  <c r="L9" i="1"/>
  <c r="K9" i="1"/>
  <c r="K6" i="1"/>
  <c r="K8" i="1"/>
  <c r="J6" i="1"/>
  <c r="I7" i="1"/>
  <c r="J7" i="1" l="1"/>
  <c r="K7" i="1"/>
  <c r="L7" i="1"/>
  <c r="J5" i="1"/>
</calcChain>
</file>

<file path=xl/sharedStrings.xml><?xml version="1.0" encoding="utf-8"?>
<sst xmlns="http://schemas.openxmlformats.org/spreadsheetml/2006/main" count="34" uniqueCount="30">
  <si>
    <t>Made by</t>
  </si>
  <si>
    <t>Date</t>
  </si>
  <si>
    <t>Compound</t>
  </si>
  <si>
    <t>Company</t>
  </si>
  <si>
    <t>Lot #</t>
  </si>
  <si>
    <t>MW</t>
  </si>
  <si>
    <t>% purity</t>
  </si>
  <si>
    <t>Corrected MW</t>
  </si>
  <si>
    <t>Amount for 500 ml</t>
  </si>
  <si>
    <t>Amount added</t>
  </si>
  <si>
    <t>EGTA</t>
  </si>
  <si>
    <t>Initial pH</t>
  </si>
  <si>
    <t>Final pH</t>
  </si>
  <si>
    <t>HCl / KOH added</t>
  </si>
  <si>
    <t>Final Conc (M)</t>
  </si>
  <si>
    <t>Amount for 1000 (g/mL)</t>
  </si>
  <si>
    <t>Rigor Solution</t>
  </si>
  <si>
    <t>Potassium acetate</t>
  </si>
  <si>
    <t>MOPS (3-(N-morpholino) propane-sulfonic acid)</t>
  </si>
  <si>
    <t>DTT (Dithiothreitol)</t>
  </si>
  <si>
    <t>Target pH = 6.80</t>
  </si>
  <si>
    <t>MgCl2 Stock Solution</t>
  </si>
  <si>
    <t>Potassium phosphate monobasic</t>
  </si>
  <si>
    <t>Amount for 250 ml</t>
  </si>
  <si>
    <t>Amount for 100 ml</t>
  </si>
  <si>
    <r>
      <t xml:space="preserve">All </t>
    </r>
    <r>
      <rPr>
        <b/>
        <sz val="11"/>
        <color theme="1"/>
        <rFont val="Arial"/>
        <family val="2"/>
      </rPr>
      <t>masses</t>
    </r>
    <r>
      <rPr>
        <sz val="11"/>
        <color theme="1"/>
        <rFont val="Arial"/>
        <family val="2"/>
      </rPr>
      <t xml:space="preserve"> are in </t>
    </r>
    <r>
      <rPr>
        <b/>
        <sz val="11"/>
        <color theme="1"/>
        <rFont val="Arial"/>
        <family val="2"/>
      </rPr>
      <t>grams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volumes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mL</t>
    </r>
    <r>
      <rPr>
        <sz val="11"/>
        <color theme="1"/>
        <rFont val="Arial"/>
        <family val="2"/>
      </rPr>
      <t xml:space="preserve"> unless explicitly stated </t>
    </r>
  </si>
  <si>
    <t>Find purity from lot number certificate of analysis (COA) band enter into table to calculate corrected FW</t>
  </si>
  <si>
    <t>Catalog</t>
  </si>
  <si>
    <t>Sigma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</si>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</sst>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0"/>
    <numFmt numFmtId="166" formatCode="0.0000"/>
  </numFmts>
  <fonts count="8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1" fontId="1" fillId="0" borderId="1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11" fontId="1" fillId="0" borderId="14" xfId="0" applyNumberFormat="1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1" fontId="0" fillId="0" borderId="16" xfId="0" applyNumberFormat="1" applyBorder="1" applyAlignment="1">
      <alignment horizontal="left" vertical="center"/>
    </xf>
    <xf numFmtId="11" fontId="1" fillId="0" borderId="16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1" fillId="0" borderId="14" xfId="0" applyNumberFormat="1" applyFont="1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74"/>
  <sheetViews>
    <sheetView tabSelected="1" zoomScaleNormal="100" workbookViewId="0">
      <selection activeCell="A7" sqref="A7"/>
    </sheetView>
  </sheetViews>
  <sheetFormatPr defaultColWidth="14.42578125" defaultRowHeight="15.75" customHeight="1" x14ac:dyDescent="0.2"/>
  <cols>
    <col min="1" max="1" width="41.85546875" style="1" bestFit="1" customWidth="1"/>
    <col min="2" max="2" width="12.5703125" style="1" bestFit="1" customWidth="1"/>
    <col min="3" max="3" width="13" style="1" bestFit="1" customWidth="1"/>
    <col min="4" max="4" width="10.85546875" style="1" bestFit="1" customWidth="1"/>
    <col min="5" max="5" width="7" style="1" bestFit="1" customWidth="1"/>
    <col min="6" max="6" width="8.140625" style="1" bestFit="1" customWidth="1"/>
    <col min="7" max="7" width="14" style="1" bestFit="1" customWidth="1"/>
    <col min="8" max="8" width="15.85546875" style="1" bestFit="1" customWidth="1"/>
    <col min="9" max="9" width="11" style="1" customWidth="1"/>
    <col min="10" max="10" width="10.7109375" style="1" customWidth="1"/>
    <col min="11" max="12" width="10.5703125" style="1" customWidth="1"/>
    <col min="13" max="16384" width="14.42578125" style="1"/>
  </cols>
  <sheetData>
    <row r="1" spans="1:13" ht="15.75" customHeight="1" x14ac:dyDescent="0.25">
      <c r="A1" s="41" t="s">
        <v>16</v>
      </c>
      <c r="B1" s="42"/>
      <c r="C1" s="22"/>
      <c r="G1" s="39" t="s">
        <v>25</v>
      </c>
    </row>
    <row r="2" spans="1:13" ht="15.75" customHeight="1" x14ac:dyDescent="0.2">
      <c r="A2" s="4" t="s">
        <v>0</v>
      </c>
      <c r="B2" s="5"/>
      <c r="C2" s="23"/>
      <c r="G2" s="40" t="s">
        <v>26</v>
      </c>
    </row>
    <row r="3" spans="1:13" ht="15.75" customHeight="1" thickBot="1" x14ac:dyDescent="0.25">
      <c r="A3" s="6" t="s">
        <v>1</v>
      </c>
      <c r="B3" s="7"/>
      <c r="C3" s="24"/>
    </row>
    <row r="4" spans="1:13" ht="27.95" customHeight="1" x14ac:dyDescent="0.2">
      <c r="A4" s="8" t="s">
        <v>2</v>
      </c>
      <c r="B4" s="9" t="s">
        <v>3</v>
      </c>
      <c r="C4" s="26" t="s">
        <v>27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14</v>
      </c>
      <c r="I4" s="37" t="s">
        <v>15</v>
      </c>
      <c r="J4" s="37" t="s">
        <v>8</v>
      </c>
      <c r="K4" s="38" t="s">
        <v>23</v>
      </c>
      <c r="L4" s="38" t="s">
        <v>24</v>
      </c>
      <c r="M4" s="10" t="s">
        <v>9</v>
      </c>
    </row>
    <row r="5" spans="1:13" ht="30" customHeight="1" x14ac:dyDescent="0.2">
      <c r="A5" s="11" t="s">
        <v>18</v>
      </c>
      <c r="B5" s="2" t="s">
        <v>28</v>
      </c>
      <c r="C5" s="2"/>
      <c r="D5" s="2"/>
      <c r="E5" s="3">
        <v>209.26329999999999</v>
      </c>
      <c r="F5" s="33">
        <v>0.995</v>
      </c>
      <c r="G5" s="3">
        <f t="shared" ref="G5:G6" si="0">E5/F5</f>
        <v>210.31487437185928</v>
      </c>
      <c r="H5" s="17">
        <v>0.05</v>
      </c>
      <c r="I5" s="35">
        <f>G5*H5</f>
        <v>10.515743718592965</v>
      </c>
      <c r="J5" s="35">
        <f t="shared" ref="J5:J10" si="1">I5/2</f>
        <v>5.2578718592964826</v>
      </c>
      <c r="K5" s="35">
        <f>I5*0.25</f>
        <v>2.6289359296482413</v>
      </c>
      <c r="L5" s="35">
        <f>I5*0.1</f>
        <v>1.0515743718592965</v>
      </c>
      <c r="M5" s="12"/>
    </row>
    <row r="6" spans="1:13" ht="30" customHeight="1" x14ac:dyDescent="0.2">
      <c r="A6" s="11" t="s">
        <v>17</v>
      </c>
      <c r="B6" s="2" t="s">
        <v>28</v>
      </c>
      <c r="C6" s="2"/>
      <c r="D6" s="2"/>
      <c r="E6" s="3">
        <v>98.15</v>
      </c>
      <c r="F6" s="33">
        <v>0.99</v>
      </c>
      <c r="G6" s="3">
        <f t="shared" si="0"/>
        <v>99.141414141414145</v>
      </c>
      <c r="H6" s="17">
        <v>0.12</v>
      </c>
      <c r="I6" s="35">
        <f>G6*H6</f>
        <v>11.896969696969697</v>
      </c>
      <c r="J6" s="35">
        <f t="shared" si="1"/>
        <v>5.9484848484848483</v>
      </c>
      <c r="K6" s="35">
        <f t="shared" ref="K6:K10" si="2">I6*0.25</f>
        <v>2.9742424242424241</v>
      </c>
      <c r="L6" s="35">
        <f t="shared" ref="L6:L10" si="3">I6*0.1</f>
        <v>1.1896969696969697</v>
      </c>
      <c r="M6" s="12"/>
    </row>
    <row r="7" spans="1:13" ht="30" customHeight="1" x14ac:dyDescent="0.2">
      <c r="A7" s="11" t="s">
        <v>10</v>
      </c>
      <c r="B7" s="2" t="s">
        <v>28</v>
      </c>
      <c r="C7" s="2"/>
      <c r="D7" s="2"/>
      <c r="E7" s="2">
        <v>380.35</v>
      </c>
      <c r="F7" s="33">
        <v>0.97899999999999998</v>
      </c>
      <c r="G7" s="3">
        <f>E7/F7</f>
        <v>388.50868232890707</v>
      </c>
      <c r="H7" s="17">
        <v>5.0000000000000001E-3</v>
      </c>
      <c r="I7" s="35">
        <f>G7*H7</f>
        <v>1.9425434116445355</v>
      </c>
      <c r="J7" s="35">
        <f t="shared" si="1"/>
        <v>0.97127170582226774</v>
      </c>
      <c r="K7" s="35">
        <f t="shared" si="2"/>
        <v>0.48563585291113387</v>
      </c>
      <c r="L7" s="35">
        <f t="shared" si="3"/>
        <v>0.19425434116445356</v>
      </c>
      <c r="M7" s="12"/>
    </row>
    <row r="8" spans="1:13" ht="30" customHeight="1" x14ac:dyDescent="0.2">
      <c r="A8" s="18" t="s">
        <v>19</v>
      </c>
      <c r="B8" s="19" t="s">
        <v>28</v>
      </c>
      <c r="C8" s="27"/>
      <c r="D8" s="19"/>
      <c r="E8" s="19">
        <v>154.25299999999999</v>
      </c>
      <c r="F8" s="33">
        <v>0.99</v>
      </c>
      <c r="G8" s="3">
        <f>E8/F8</f>
        <v>155.8111111111111</v>
      </c>
      <c r="H8" s="20">
        <v>4.0000000000000001E-3</v>
      </c>
      <c r="I8" s="35">
        <f>G8*H8</f>
        <v>0.62324444444444438</v>
      </c>
      <c r="J8" s="35">
        <f t="shared" si="1"/>
        <v>0.31162222222222219</v>
      </c>
      <c r="K8" s="35">
        <f t="shared" si="2"/>
        <v>0.15581111111111109</v>
      </c>
      <c r="L8" s="35">
        <f t="shared" si="3"/>
        <v>6.2324444444444439E-2</v>
      </c>
      <c r="M8" s="21"/>
    </row>
    <row r="9" spans="1:13" ht="30" customHeight="1" x14ac:dyDescent="0.2">
      <c r="A9" s="18" t="s">
        <v>22</v>
      </c>
      <c r="B9" s="19" t="s">
        <v>28</v>
      </c>
      <c r="C9" s="19"/>
      <c r="D9" s="19"/>
      <c r="E9" s="19">
        <v>136.08600000000001</v>
      </c>
      <c r="F9" s="34">
        <v>0.99</v>
      </c>
      <c r="G9" s="3">
        <f>E9/F9</f>
        <v>137.46060606060607</v>
      </c>
      <c r="H9" s="20">
        <v>5.0000000000000001E-3</v>
      </c>
      <c r="I9" s="35">
        <f>G9*H9</f>
        <v>0.6873030303030303</v>
      </c>
      <c r="J9" s="35">
        <f t="shared" si="1"/>
        <v>0.34365151515151515</v>
      </c>
      <c r="K9" s="35">
        <f t="shared" si="2"/>
        <v>0.17182575757575758</v>
      </c>
      <c r="L9" s="35">
        <f t="shared" si="3"/>
        <v>6.873030303030303E-2</v>
      </c>
      <c r="M9" s="12"/>
    </row>
    <row r="10" spans="1:13" ht="30" customHeight="1" thickBot="1" x14ac:dyDescent="0.25">
      <c r="A10" s="47" t="s">
        <v>21</v>
      </c>
      <c r="B10" s="28" t="s">
        <v>29</v>
      </c>
      <c r="C10" s="28"/>
      <c r="D10" s="29"/>
      <c r="E10" s="29"/>
      <c r="F10" s="28"/>
      <c r="G10" s="30">
        <v>0.5</v>
      </c>
      <c r="H10" s="31">
        <v>5.0000000000000001E-3</v>
      </c>
      <c r="I10" s="36">
        <f>((H10*1)/G10)*1000</f>
        <v>10</v>
      </c>
      <c r="J10" s="36">
        <f t="shared" si="1"/>
        <v>5</v>
      </c>
      <c r="K10" s="36">
        <f t="shared" si="2"/>
        <v>2.5</v>
      </c>
      <c r="L10" s="36">
        <f t="shared" si="3"/>
        <v>1</v>
      </c>
      <c r="M10" s="32"/>
    </row>
    <row r="11" spans="1:13" ht="15.75" customHeight="1" thickBot="1" x14ac:dyDescent="0.25">
      <c r="A11" s="46"/>
    </row>
    <row r="12" spans="1:13" ht="27.95" customHeight="1" thickBot="1" x14ac:dyDescent="0.25">
      <c r="A12" s="43" t="s">
        <v>20</v>
      </c>
      <c r="B12" s="44"/>
      <c r="C12" s="25"/>
    </row>
    <row r="13" spans="1:13" ht="30" customHeight="1" x14ac:dyDescent="0.2">
      <c r="A13" s="13" t="s">
        <v>11</v>
      </c>
      <c r="B13" s="14"/>
      <c r="C13" s="23"/>
    </row>
    <row r="14" spans="1:13" ht="30" customHeight="1" x14ac:dyDescent="0.2">
      <c r="A14" s="11" t="s">
        <v>12</v>
      </c>
      <c r="B14" s="5"/>
      <c r="C14" s="23"/>
      <c r="H14" s="45"/>
      <c r="I14" s="45"/>
      <c r="J14" s="45"/>
      <c r="K14" s="45"/>
    </row>
    <row r="15" spans="1:13" ht="30" customHeight="1" thickBot="1" x14ac:dyDescent="0.25">
      <c r="A15" s="16" t="s">
        <v>13</v>
      </c>
      <c r="B15" s="15"/>
      <c r="C15" s="23"/>
      <c r="H15" s="45"/>
      <c r="I15" s="45"/>
      <c r="J15" s="45"/>
      <c r="K15" s="45"/>
    </row>
    <row r="16" spans="1:13" ht="15.75" customHeight="1" x14ac:dyDescent="0.2">
      <c r="H16" s="45"/>
      <c r="I16" s="45"/>
      <c r="J16" s="45"/>
      <c r="K16" s="45"/>
    </row>
    <row r="17" spans="8:11" ht="15.75" customHeight="1" x14ac:dyDescent="0.2">
      <c r="H17" s="45"/>
      <c r="I17" s="45"/>
      <c r="J17" s="45"/>
      <c r="K17" s="45"/>
    </row>
    <row r="38" ht="12.75" x14ac:dyDescent="0.2"/>
    <row r="43" ht="12.75" x14ac:dyDescent="0.2"/>
    <row r="44" ht="12.75" x14ac:dyDescent="0.2"/>
    <row r="45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4" ht="12.75" x14ac:dyDescent="0.2"/>
    <row r="55" ht="12.75" x14ac:dyDescent="0.2"/>
    <row r="56" ht="12.75" x14ac:dyDescent="0.2"/>
    <row r="61" ht="12.75" x14ac:dyDescent="0.2"/>
    <row r="62" ht="12.75" x14ac:dyDescent="0.2"/>
    <row r="63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2" ht="12.75" x14ac:dyDescent="0.2"/>
    <row r="73" ht="12.75" x14ac:dyDescent="0.2"/>
    <row r="74" ht="12.75" x14ac:dyDescent="0.2"/>
  </sheetData>
  <mergeCells count="2">
    <mergeCell ref="A1:B1"/>
    <mergeCell ref="A12:B12"/>
  </mergeCells>
  <pageMargins left="0.25" right="0.25" top="0.75" bottom="0.75" header="0.3" footer="0.3"/>
  <pageSetup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LabArchives xmlns:xsi="http://www.w3.org/2001/XMLSchema-instance" xmlns:xsd="http://www.w3.org/2001/XMLSchema">
  <BaseUri>https://mynotebook.labarchives.com</BaseUri>
  <eid>MTQ1OS45fDY3MzMyMS8xMTIzL0VudHJ5UGFydC8xNTI3NDUzNTcwfDM3MDUuODk5OTk5OTk5OTk5Ng==</eid>
  <version>1</version>
  <updated-at>2023-02-07T15:12:35Z</updated-at>
</LabArchiv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13" ma:contentTypeDescription="Create a new document." ma:contentTypeScope="" ma:versionID="abfa450e2c882fa05ec7f6a4b4016779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53678093842f3275b6926b32e7a9c141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6E4525-D34E-471F-91EB-AF7A16356F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12E31E-5C99-4C5B-9323-B5D42B3C4F74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6cbc0c5a-d948-46e5-8624-1bad210f77c7"/>
    <ds:schemaRef ds:uri="5d5a2885-0f9b-4d04-9bc1-f867a2376b8a"/>
  </ds:schemaRefs>
</ds:datastoreItem>
</file>

<file path=customXml/itemProps3.xml><?xml version="1.0" encoding="utf-8"?>
<ds:datastoreItem xmlns:ds="http://schemas.openxmlformats.org/officeDocument/2006/customXml" ds:itemID="{278D5EB4-455C-4B6B-914E-CCAB7C96EAF7}">
  <ds:schemaRefs>
    <ds:schemaRef ds:uri="http://www.w3.org/2001/XMLSchema"/>
  </ds:schemaRefs>
</ds:datastoreItem>
</file>

<file path=customXml/itemProps4.xml><?xml version="1.0" encoding="utf-8"?>
<ds:datastoreItem xmlns:ds="http://schemas.openxmlformats.org/officeDocument/2006/customXml" ds:itemID="{D7A5D5A9-477B-4B97-9F9B-D797D2834A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Milburn</dc:creator>
  <cp:keywords/>
  <dc:description/>
  <cp:lastModifiedBy>Gulbulak, Utku</cp:lastModifiedBy>
  <cp:revision/>
  <cp:lastPrinted>2024-11-07T15:23:54Z</cp:lastPrinted>
  <dcterms:created xsi:type="dcterms:W3CDTF">2018-06-07T17:39:45Z</dcterms:created>
  <dcterms:modified xsi:type="dcterms:W3CDTF">2024-11-07T15:24:17Z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</Properties>
</file>