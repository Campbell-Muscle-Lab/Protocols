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nto\Downloads\"/>
    </mc:Choice>
  </mc:AlternateContent>
  <xr:revisionPtr revIDLastSave="0" documentId="13_ncr:1_{5BBA2E14-F54B-44E2-AC42-30C53AB1DED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KCl" sheetId="1" r:id="rId1"/>
  </sheets>
  <definedNames>
    <definedName name="_xlnm.Print_Area" localSheetId="0">KCl!$A$1:$J$15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1" l="1"/>
  <c r="I8" i="1" s="1"/>
  <c r="F7" i="1"/>
  <c r="I7" i="1" s="1"/>
  <c r="F6" i="1"/>
  <c r="I6" i="1" s="1"/>
  <c r="F5" i="1"/>
  <c r="I5" i="1" s="1"/>
  <c r="H5" i="1" l="1"/>
  <c r="H8" i="1"/>
  <c r="H6" i="1"/>
  <c r="H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tc={6AE4664F-7AE5-4A07-9684-EEDCB43E4FC2}</author>
    <author>tc={B7398153-8E7C-45BF-90E1-E6122429F809}</author>
    <author>tc={097545AC-F7C0-4656-88EA-D9962046C803}</author>
    <author>tc={4BE295E3-AE1A-44FC-99DF-F797F34E60A3}</author>
  </authors>
  <commentList>
    <comment ref="F4" authorId="0" shapeId="0" xr:uid="{6AE4664F-7AE5-4A07-9684-EEDCB43E4FC2}">
      <text>
        <t>[Threaded comment]
Your version of Excel allows you to read this threaded comment; however, any edits to it will get removed if the file is opened in a newer version of Excel. Learn more: https://go.microsoft.com/fwlink/?linkid=870924
Comment:
    MW/(%_purity/100)</t>
      </text>
    </comment>
    <comment ref="H4" authorId="1" shapeId="0" xr:uid="{B7398153-8E7C-45BF-90E1-E6122429F809}">
      <text>
        <t>[Threaded comment]
Your version of Excel allows you to read this threaded comment; however, any edits to it will get removed if the file is opened in a newer version of Excel. Learn more: https://go.microsoft.com/fwlink/?linkid=870924
Comment:
    Corrected_MW*(Final_Conc/1000)</t>
      </text>
    </comment>
    <comment ref="I4" authorId="2" shapeId="0" xr:uid="{097545AC-F7C0-4656-88EA-D9962046C80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Corrected_MW*(Final_Conc/2000)
</t>
      </text>
    </comment>
    <comment ref="J4" authorId="3" shapeId="0" xr:uid="{4BE295E3-AE1A-44FC-99DF-F797F34E60A3}">
      <text>
        <t>[Threaded comment]
Your version of Excel allows you to read this threaded comment; however, any edits to it will get removed if the file is opened in a newer version of Excel. Learn more: https://go.microsoft.com/fwlink/?linkid=870924
Comment:
    Actual amount weighed out</t>
      </text>
    </comment>
  </commentList>
</comments>
</file>

<file path=xl/sharedStrings.xml><?xml version="1.0" encoding="utf-8"?>
<sst xmlns="http://schemas.openxmlformats.org/spreadsheetml/2006/main" count="26" uniqueCount="26">
  <si>
    <t>Made by</t>
  </si>
  <si>
    <t>Date</t>
  </si>
  <si>
    <t>Compound</t>
  </si>
  <si>
    <t>Company</t>
  </si>
  <si>
    <t>Lot #</t>
  </si>
  <si>
    <t>Amount added (g)</t>
  </si>
  <si>
    <t>KCl</t>
  </si>
  <si>
    <t>Imidazole</t>
  </si>
  <si>
    <t>EGTA</t>
  </si>
  <si>
    <t>ATP</t>
  </si>
  <si>
    <t>MgCl2</t>
  </si>
  <si>
    <t>Stock</t>
  </si>
  <si>
    <t>500 mM</t>
  </si>
  <si>
    <t>14 mL</t>
  </si>
  <si>
    <t>7 ml</t>
  </si>
  <si>
    <t>Target pH = 7.00</t>
  </si>
  <si>
    <t>Initial pH</t>
  </si>
  <si>
    <t>Final pH</t>
  </si>
  <si>
    <t>Total HCl / KOH added</t>
  </si>
  <si>
    <t>Amount (g) for
1000 mL</t>
  </si>
  <si>
    <t>Amount (g) for
500 mL</t>
  </si>
  <si>
    <t>Molecular Weight (g/mol)</t>
  </si>
  <si>
    <t>Purity (%)</t>
  </si>
  <si>
    <t>Corrected Molecular Weight (g/mol)</t>
  </si>
  <si>
    <t>Final Concentration (mM)</t>
  </si>
  <si>
    <t xml:space="preserve"> 600 mM KCl - High-Salt Relax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</si>
</sst>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yy"/>
    <numFmt numFmtId="165" formatCode="0.0"/>
    <numFmt numFmtId="166" formatCode="0.00000"/>
  </numFmts>
  <fonts count="5" x14ac:knownFonts="1">
    <font>
      <sz val="10"/>
      <color rgb="FF00000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164" fontId="1" fillId="0" borderId="7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" fillId="0" borderId="8" xfId="0" applyFont="1" applyBorder="1" applyAlignment="1">
      <alignment horizontal="left" vertical="center"/>
    </xf>
    <xf numFmtId="0" fontId="1" fillId="0" borderId="10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" fillId="0" borderId="16" xfId="0" applyFont="1" applyBorder="1" applyAlignment="1">
      <alignment horizontal="left" vertical="center"/>
    </xf>
    <xf numFmtId="0" fontId="1" fillId="0" borderId="1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2" fontId="1" fillId="0" borderId="11" xfId="0" applyNumberFormat="1" applyFont="1" applyBorder="1" applyAlignment="1">
      <alignment horizontal="center" vertical="center"/>
    </xf>
    <xf numFmtId="165" fontId="1" fillId="0" borderId="11" xfId="0" applyNumberFormat="1" applyFont="1" applyBorder="1" applyAlignment="1">
      <alignment horizontal="center" vertical="center"/>
    </xf>
    <xf numFmtId="166" fontId="0" fillId="0" borderId="11" xfId="0" applyNumberForma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10" Type="http://schemas.openxmlformats.org/officeDocument/2006/relationships/customXml" Target="../customXml/item4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inton, Austin T." id="{A66C13DE-B9B7-4BDC-9802-D0577976EBCE}" userId="S::atmi229@uky.edu::71f795bf-c635-4070-a0e5-2ffa30aa9f5b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4" dT="2025-11-14T17:50:14.16" personId="{A66C13DE-B9B7-4BDC-9802-D0577976EBCE}" id="{6AE4664F-7AE5-4A07-9684-EEDCB43E4FC2}">
    <text>MW/(%_purity/100)</text>
  </threadedComment>
  <threadedComment ref="H4" dT="2025-11-14T17:51:52.86" personId="{A66C13DE-B9B7-4BDC-9802-D0577976EBCE}" id="{B7398153-8E7C-45BF-90E1-E6122429F809}">
    <text>Corrected_MW*(Final_Conc/1000)</text>
  </threadedComment>
  <threadedComment ref="I4" dT="2025-11-14T17:53:41.97" personId="{A66C13DE-B9B7-4BDC-9802-D0577976EBCE}" id="{097545AC-F7C0-4656-88EA-D9962046C803}">
    <text xml:space="preserve">Corrected_MW*(Final_Conc/2000)
</text>
  </threadedComment>
  <threadedComment ref="J4" dT="2025-11-14T18:01:18.05" personId="{A66C13DE-B9B7-4BDC-9802-D0577976EBCE}" id="{4BE295E3-AE1A-44FC-99DF-F797F34E60A3}">
    <text>Actual amount weighed out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J73"/>
  <sheetViews>
    <sheetView tabSelected="1" workbookViewId="0">
      <selection activeCell="L8" sqref="L8"/>
    </sheetView>
  </sheetViews>
  <sheetFormatPr defaultColWidth="14.453125" defaultRowHeight="15.75" customHeight="1" x14ac:dyDescent="0.25"/>
  <cols>
    <col min="1" max="1" width="14.81640625" style="1" customWidth="1"/>
    <col min="2" max="2" width="12.90625" style="1" customWidth="1"/>
    <col min="3" max="3" width="9" style="1" bestFit="1" customWidth="1"/>
    <col min="4" max="4" width="19" style="1" customWidth="1"/>
    <col min="5" max="5" width="9.26953125" style="1" bestFit="1" customWidth="1"/>
    <col min="6" max="6" width="22.54296875" style="1" customWidth="1"/>
    <col min="7" max="7" width="18.7265625" style="1" customWidth="1"/>
    <col min="8" max="8" width="18.7265625" style="1" bestFit="1" customWidth="1"/>
    <col min="9" max="9" width="17.7265625" style="1" bestFit="1" customWidth="1"/>
    <col min="10" max="10" width="18.26953125" style="1" customWidth="1"/>
    <col min="11" max="16384" width="14.453125" style="1"/>
  </cols>
  <sheetData>
    <row r="1" spans="1:10" ht="15.75" customHeight="1" x14ac:dyDescent="0.25">
      <c r="A1" s="29" t="s">
        <v>25</v>
      </c>
      <c r="B1" s="30"/>
    </row>
    <row r="2" spans="1:10" ht="15.75" customHeight="1" x14ac:dyDescent="0.25">
      <c r="A2" s="2" t="s">
        <v>0</v>
      </c>
      <c r="B2" s="3"/>
    </row>
    <row r="3" spans="1:10" ht="15.75" customHeight="1" thickBot="1" x14ac:dyDescent="0.3">
      <c r="A3" s="4" t="s">
        <v>1</v>
      </c>
      <c r="B3" s="5"/>
    </row>
    <row r="4" spans="1:10" ht="28" customHeight="1" x14ac:dyDescent="0.25">
      <c r="A4" s="6" t="s">
        <v>2</v>
      </c>
      <c r="B4" s="7" t="s">
        <v>3</v>
      </c>
      <c r="C4" s="7" t="s">
        <v>4</v>
      </c>
      <c r="D4" s="18" t="s">
        <v>21</v>
      </c>
      <c r="E4" s="19" t="s">
        <v>22</v>
      </c>
      <c r="F4" s="18" t="s">
        <v>23</v>
      </c>
      <c r="G4" s="18" t="s">
        <v>24</v>
      </c>
      <c r="H4" s="18" t="s">
        <v>19</v>
      </c>
      <c r="I4" s="18" t="s">
        <v>20</v>
      </c>
      <c r="J4" s="20" t="s">
        <v>5</v>
      </c>
    </row>
    <row r="5" spans="1:10" ht="30" customHeight="1" x14ac:dyDescent="0.25">
      <c r="A5" s="2" t="s">
        <v>6</v>
      </c>
      <c r="B5" s="11"/>
      <c r="C5" s="11"/>
      <c r="D5" s="11"/>
      <c r="E5" s="11"/>
      <c r="F5" s="12" t="e">
        <f t="shared" ref="F5:F8" si="0">D5/(E5/100)</f>
        <v>#DIV/0!</v>
      </c>
      <c r="G5" s="11">
        <v>600</v>
      </c>
      <c r="H5" s="13" t="e">
        <f>F5*(G5/1000)</f>
        <v>#DIV/0!</v>
      </c>
      <c r="I5" s="13" t="e">
        <f>F5*(G5/2000)</f>
        <v>#DIV/0!</v>
      </c>
      <c r="J5" s="3"/>
    </row>
    <row r="6" spans="1:10" ht="30" customHeight="1" x14ac:dyDescent="0.25">
      <c r="A6" s="2" t="s">
        <v>7</v>
      </c>
      <c r="B6" s="11"/>
      <c r="C6" s="11"/>
      <c r="D6" s="11"/>
      <c r="E6" s="11"/>
      <c r="F6" s="12" t="e">
        <f t="shared" si="0"/>
        <v>#DIV/0!</v>
      </c>
      <c r="G6" s="11">
        <v>20</v>
      </c>
      <c r="H6" s="13" t="e">
        <f t="shared" ref="H6:H8" si="1">F6*(G6/1000)</f>
        <v>#DIV/0!</v>
      </c>
      <c r="I6" s="13" t="e">
        <f t="shared" ref="I6:I8" si="2">F6*(G6/2000)</f>
        <v>#DIV/0!</v>
      </c>
      <c r="J6" s="3"/>
    </row>
    <row r="7" spans="1:10" ht="30" customHeight="1" x14ac:dyDescent="0.25">
      <c r="A7" s="2" t="s">
        <v>8</v>
      </c>
      <c r="B7" s="11"/>
      <c r="C7" s="11"/>
      <c r="D7" s="11"/>
      <c r="E7" s="11"/>
      <c r="F7" s="12" t="e">
        <f t="shared" si="0"/>
        <v>#DIV/0!</v>
      </c>
      <c r="G7" s="11">
        <v>2</v>
      </c>
      <c r="H7" s="13" t="e">
        <f t="shared" si="1"/>
        <v>#DIV/0!</v>
      </c>
      <c r="I7" s="13" t="e">
        <f t="shared" si="2"/>
        <v>#DIV/0!</v>
      </c>
      <c r="J7" s="3"/>
    </row>
    <row r="8" spans="1:10" ht="30" customHeight="1" thickBot="1" x14ac:dyDescent="0.3">
      <c r="A8" s="4" t="s">
        <v>9</v>
      </c>
      <c r="B8" s="25"/>
      <c r="C8" s="14"/>
      <c r="D8" s="26"/>
      <c r="E8" s="27"/>
      <c r="F8" s="15" t="e">
        <f t="shared" si="0"/>
        <v>#DIV/0!</v>
      </c>
      <c r="G8" s="14">
        <v>4</v>
      </c>
      <c r="H8" s="28" t="e">
        <f t="shared" si="1"/>
        <v>#DIV/0!</v>
      </c>
      <c r="I8" s="28" t="e">
        <f t="shared" si="2"/>
        <v>#DIV/0!</v>
      </c>
      <c r="J8" s="10"/>
    </row>
    <row r="9" spans="1:10" ht="30" customHeight="1" thickBot="1" x14ac:dyDescent="0.3">
      <c r="A9" s="21" t="s">
        <v>10</v>
      </c>
      <c r="B9" s="22" t="s">
        <v>11</v>
      </c>
      <c r="C9" s="23"/>
      <c r="D9" s="23"/>
      <c r="E9" s="23"/>
      <c r="F9" s="22" t="s">
        <v>12</v>
      </c>
      <c r="G9" s="22">
        <v>7</v>
      </c>
      <c r="H9" s="22" t="s">
        <v>13</v>
      </c>
      <c r="I9" s="22" t="s">
        <v>14</v>
      </c>
      <c r="J9" s="24"/>
    </row>
    <row r="10" spans="1:10" ht="15.75" customHeight="1" thickBot="1" x14ac:dyDescent="0.3"/>
    <row r="11" spans="1:10" ht="28" customHeight="1" thickBot="1" x14ac:dyDescent="0.3">
      <c r="A11" s="31" t="s">
        <v>15</v>
      </c>
      <c r="B11" s="32"/>
    </row>
    <row r="12" spans="1:10" ht="30" customHeight="1" x14ac:dyDescent="0.25">
      <c r="A12" s="8" t="s">
        <v>16</v>
      </c>
      <c r="B12" s="9"/>
    </row>
    <row r="13" spans="1:10" ht="30" customHeight="1" thickBot="1" x14ac:dyDescent="0.3">
      <c r="A13" s="16" t="s">
        <v>17</v>
      </c>
      <c r="B13" s="17"/>
    </row>
    <row r="14" spans="1:10" ht="30" customHeight="1" x14ac:dyDescent="0.25">
      <c r="A14" s="33" t="s">
        <v>18</v>
      </c>
      <c r="B14" s="34"/>
    </row>
    <row r="15" spans="1:10" ht="33" customHeight="1" thickBot="1" x14ac:dyDescent="0.3">
      <c r="A15" s="35"/>
      <c r="B15" s="36"/>
    </row>
    <row r="37" s="1" customFormat="1" ht="12.5" x14ac:dyDescent="0.25"/>
    <row r="42" s="1" customFormat="1" ht="12.5" x14ac:dyDescent="0.25"/>
    <row r="43" s="1" customFormat="1" ht="12.5" x14ac:dyDescent="0.25"/>
    <row r="44" s="1" customFormat="1" ht="12.5" x14ac:dyDescent="0.25"/>
    <row r="46" s="1" customFormat="1" ht="12.5" x14ac:dyDescent="0.25"/>
    <row r="47" s="1" customFormat="1" ht="12.5" x14ac:dyDescent="0.25"/>
    <row r="48" s="1" customFormat="1" ht="12.5" x14ac:dyDescent="0.25"/>
    <row r="49" s="1" customFormat="1" ht="12.5" x14ac:dyDescent="0.25"/>
    <row r="50" s="1" customFormat="1" ht="12.5" x14ac:dyDescent="0.25"/>
    <row r="51" s="1" customFormat="1" ht="12.5" x14ac:dyDescent="0.25"/>
    <row r="53" s="1" customFormat="1" ht="12.5" x14ac:dyDescent="0.25"/>
    <row r="54" s="1" customFormat="1" ht="12.5" x14ac:dyDescent="0.25"/>
    <row r="55" s="1" customFormat="1" ht="12.5" x14ac:dyDescent="0.25"/>
    <row r="60" s="1" customFormat="1" ht="12.5" x14ac:dyDescent="0.25"/>
    <row r="61" s="1" customFormat="1" ht="12.5" x14ac:dyDescent="0.25"/>
    <row r="62" s="1" customFormat="1" ht="12.5" x14ac:dyDescent="0.25"/>
    <row r="64" s="1" customFormat="1" ht="12.5" x14ac:dyDescent="0.25"/>
    <row r="65" s="1" customFormat="1" ht="12.5" x14ac:dyDescent="0.25"/>
    <row r="66" s="1" customFormat="1" ht="12.5" x14ac:dyDescent="0.25"/>
    <row r="67" s="1" customFormat="1" ht="12.5" x14ac:dyDescent="0.25"/>
    <row r="68" s="1" customFormat="1" ht="12.5" x14ac:dyDescent="0.25"/>
    <row r="69" s="1" customFormat="1" ht="12.5" x14ac:dyDescent="0.25"/>
    <row r="71" s="1" customFormat="1" ht="12.5" x14ac:dyDescent="0.25"/>
    <row r="72" s="1" customFormat="1" ht="12.5" x14ac:dyDescent="0.25"/>
    <row r="73" s="1" customFormat="1" ht="12.5" x14ac:dyDescent="0.25"/>
  </sheetData>
  <mergeCells count="4">
    <mergeCell ref="A1:B1"/>
    <mergeCell ref="A11:B11"/>
    <mergeCell ref="A14:B14"/>
    <mergeCell ref="A15:B15"/>
  </mergeCells>
  <pageMargins left="0.7" right="0.7" top="0.75" bottom="0.75" header="0.3" footer="0.3"/>
  <pageSetup scale="94" orientation="landscape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5a2885-0f9b-4d04-9bc1-f867a2376b8a">
      <Terms xmlns="http://schemas.microsoft.com/office/infopath/2007/PartnerControls"/>
    </lcf76f155ced4ddcb4097134ff3c332f>
    <TaxCatchAll xmlns="6cbc0c5a-d948-46e5-8624-1bad210f77c7" xsi:nil="true"/>
  </documentManagement>
</p:properties>
</file>

<file path=customXml/item2.xml><?xml version="1.0" encoding="utf-8"?>
<LabArchives xmlns:xsd="http://www.w3.org/2001/XMLSchema" xmlns:xsi="http://www.w3.org/2001/XMLSchema-instance">
  <eid>MTkzLjcwMDAwMDAwMDAwMDAyfDY3MzMyMS8xNDkvRW50cnlQYXJ0LzEzNjcwOTU4NjB8NDkxLjc=</eid>
  <version>35</version>
  <updated-at>2023-05-23T19:13:43Z</updated-at>
</LabArchiv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65EA08FA511AE4C9FFF632E6536ED13" ma:contentTypeVersion="22" ma:contentTypeDescription="Create a new document." ma:contentTypeScope="" ma:versionID="f410135d78367e4436c059d4e8c99d0d">
  <xsd:schema xmlns:xsd="http://www.w3.org/2001/XMLSchema" xmlns:xs="http://www.w3.org/2001/XMLSchema" xmlns:p="http://schemas.microsoft.com/office/2006/metadata/properties" xmlns:ns2="5d5a2885-0f9b-4d04-9bc1-f867a2376b8a" xmlns:ns3="6cbc0c5a-d948-46e5-8624-1bad210f77c7" targetNamespace="http://schemas.microsoft.com/office/2006/metadata/properties" ma:root="true" ma:fieldsID="3f2ba4fca59c2d5bb3330d2d05810037" ns2:_="" ns3:_="">
    <xsd:import namespace="5d5a2885-0f9b-4d04-9bc1-f867a2376b8a"/>
    <xsd:import namespace="6cbc0c5a-d948-46e5-8624-1bad210f77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EventHashCode" minOccurs="0"/>
                <xsd:element ref="ns2:MediaServiceGenerationTime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5a2885-0f9b-4d04-9bc1-f867a2376b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7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8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9" nillable="true" ma:displayName="MediaServiceAutoTags" ma:hidden="true" ma:internalName="MediaServiceAutoTags" ma:readOnly="true">
      <xsd:simpleType>
        <xsd:restriction base="dms:Text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1" nillable="true" ma:displayName="MediaServiceOCR" ma:hidden="true" ma:internalName="MediaServiceOCR" ma:readOnly="true">
      <xsd:simpleType>
        <xsd:restriction base="dms:Note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hidden="true" ma:internalName="MediaServiceKeyPoints" ma:readOnly="true">
      <xsd:simpleType>
        <xsd:restriction base="dms:Note"/>
      </xsd:simpleType>
    </xsd:element>
    <xsd:element name="MediaServiceLocation" ma:index="1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17" nillable="true" ma:displayName="Length (seconds)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4560d88b-9459-45c3-8a30-9c03b99f5b1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bc0c5a-d948-46e5-8624-1bad210f77c7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hidden="true" ma:internalName="SharedWithDetails" ma:readOnly="true">
      <xsd:simpleType>
        <xsd:restriction base="dms:Note"/>
      </xsd:simpleType>
    </xsd:element>
    <xsd:element name="TaxCatchAll" ma:index="22" nillable="true" ma:displayName="Taxonomy Catch All Column" ma:hidden="true" ma:list="{e6299094-9969-4aa1-ba76-85cf9469c7b4}" ma:internalName="TaxCatchAll" ma:readOnly="false" ma:showField="CatchAllData" ma:web="6cbc0c5a-d948-46e5-8624-1bad210f77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012E31E-5C99-4C5B-9323-B5D42B3C4F74}">
  <ds:schemaRefs>
    <ds:schemaRef ds:uri="http://schemas.microsoft.com/office/2006/metadata/properties"/>
    <ds:schemaRef ds:uri="http://schemas.microsoft.com/office/infopath/2007/PartnerControls"/>
    <ds:schemaRef ds:uri="5d5a2885-0f9b-4d04-9bc1-f867a2376b8a"/>
    <ds:schemaRef ds:uri="6cbc0c5a-d948-46e5-8624-1bad210f77c7"/>
  </ds:schemaRefs>
</ds:datastoreItem>
</file>

<file path=customXml/itemProps2.xml><?xml version="1.0" encoding="utf-8"?>
<ds:datastoreItem xmlns:ds="http://schemas.openxmlformats.org/officeDocument/2006/customXml" ds:itemID="{33053450-05E7-49E1-931C-3F2FFF53B7FA}">
  <ds:schemaRefs>
    <ds:schemaRef ds:uri="http://www.w3.org/2001/XMLSchema"/>
  </ds:schemaRefs>
</ds:datastoreItem>
</file>

<file path=customXml/itemProps3.xml><?xml version="1.0" encoding="utf-8"?>
<ds:datastoreItem xmlns:ds="http://schemas.openxmlformats.org/officeDocument/2006/customXml" ds:itemID="{576E4525-D34E-471F-91EB-AF7A16356FDF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33A13748-90FD-4774-BB1C-7A830E1594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5a2885-0f9b-4d04-9bc1-f867a2376b8a"/>
    <ds:schemaRef ds:uri="6cbc0c5a-d948-46e5-8624-1bad210f77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KCl</vt:lpstr>
      <vt:lpstr>KCl!Print_Area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Minton, Austin T.</cp:lastModifiedBy>
  <cp:revision/>
  <dcterms:created xsi:type="dcterms:W3CDTF">2018-06-07T17:39:45Z</dcterms:created>
  <dcterms:modified xsi:type="dcterms:W3CDTF">2026-02-28T18:15:41Z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0x010100965EA08FA511AE4C9FFF632E6536ED13</vt:lpwstr>
  </property>
</Properties>
</file>