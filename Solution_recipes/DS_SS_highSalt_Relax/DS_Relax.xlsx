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to\Documents\GitHub\Protocols\Solution_recipes\DS_SS_highSalt_Relax\"/>
    </mc:Choice>
  </mc:AlternateContent>
  <xr:revisionPtr revIDLastSave="0" documentId="13_ncr:1_{F1D845E9-1694-4F2B-BA43-37EBCA6A47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500mL" sheetId="1" r:id="rId1"/>
  </sheets>
  <definedNames>
    <definedName name="_xlnm.Print_Area" localSheetId="0">'500mL'!$A$1:$K$16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I8" i="1" s="1"/>
  <c r="F7" i="1"/>
  <c r="I7" i="1" s="1"/>
  <c r="F5" i="1"/>
  <c r="I5" i="1" s="1"/>
  <c r="J5" i="1" s="1"/>
  <c r="F6" i="1"/>
  <c r="I6" i="1" s="1"/>
  <c r="H6" i="1" l="1"/>
  <c r="J6" i="1"/>
  <c r="H7" i="1"/>
  <c r="J7" i="1"/>
  <c r="H8" i="1"/>
  <c r="J8" i="1"/>
  <c r="H5" i="1"/>
</calcChain>
</file>

<file path=xl/sharedStrings.xml><?xml version="1.0" encoding="utf-8"?>
<sst xmlns="http://schemas.openxmlformats.org/spreadsheetml/2006/main" count="34" uniqueCount="32">
  <si>
    <t>Made by</t>
  </si>
  <si>
    <t>Date</t>
  </si>
  <si>
    <t>Compound</t>
  </si>
  <si>
    <t>Company</t>
  </si>
  <si>
    <t>Lot #</t>
  </si>
  <si>
    <t>KCl</t>
  </si>
  <si>
    <t>Sigma</t>
  </si>
  <si>
    <t>Imidazole</t>
  </si>
  <si>
    <t>EGTA</t>
  </si>
  <si>
    <t>ATP</t>
  </si>
  <si>
    <t>MgCl2</t>
  </si>
  <si>
    <t>Stock</t>
  </si>
  <si>
    <t>500 mM</t>
  </si>
  <si>
    <t>14 mL</t>
  </si>
  <si>
    <t>Initial pH</t>
  </si>
  <si>
    <t>Final pH</t>
  </si>
  <si>
    <t>Double Strength Relax</t>
  </si>
  <si>
    <t>Target pH = 7.00</t>
  </si>
  <si>
    <t>Total HCl / KOH added</t>
  </si>
  <si>
    <t>Amount added (g)</t>
  </si>
  <si>
    <t>Sigma (Roche)</t>
  </si>
  <si>
    <t>28 mL</t>
  </si>
  <si>
    <t>N/A</t>
  </si>
  <si>
    <t>Molecular Weight (g/mol)</t>
  </si>
  <si>
    <t>Purity (%)</t>
  </si>
  <si>
    <t>Corrected Molecular Weight (g/mol)</t>
  </si>
  <si>
    <t>Final Concentration (mM)</t>
  </si>
  <si>
    <t>Amount (g) for
500mL</t>
  </si>
  <si>
    <t>Amount (g) for 250mL</t>
  </si>
  <si>
    <t>concentration (mM)</t>
  </si>
  <si>
    <t>7 mL</t>
  </si>
  <si>
    <t>Amount (g) for 1000mL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</si>
</sst>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00"/>
    <numFmt numFmtId="166" formatCode="0.0"/>
  </numFmts>
  <fonts count="5" x14ac:knownFonts="1">
    <font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165" fontId="1" fillId="0" borderId="22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 wrapText="1"/>
    </xf>
    <xf numFmtId="166" fontId="1" fillId="0" borderId="23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16"/>
  <sheetViews>
    <sheetView tabSelected="1" workbookViewId="0">
      <selection activeCell="F16" sqref="F16"/>
    </sheetView>
  </sheetViews>
  <sheetFormatPr defaultColWidth="14.453125" defaultRowHeight="15.75" customHeight="1" x14ac:dyDescent="0.25"/>
  <cols>
    <col min="1" max="1" width="16.26953125" customWidth="1"/>
    <col min="2" max="2" width="14.7265625" customWidth="1"/>
    <col min="3" max="3" width="11.7265625" customWidth="1"/>
    <col min="4" max="4" width="19.36328125" customWidth="1"/>
    <col min="5" max="5" width="10.08984375" customWidth="1"/>
    <col min="6" max="6" width="20.453125" customWidth="1"/>
    <col min="7" max="7" width="19.36328125" customWidth="1"/>
    <col min="8" max="8" width="13.81640625" customWidth="1"/>
    <col min="9" max="9" width="14" customWidth="1"/>
    <col min="10" max="10" width="14.54296875" customWidth="1"/>
    <col min="11" max="11" width="17.26953125" customWidth="1"/>
  </cols>
  <sheetData>
    <row r="1" spans="1:11" ht="15.5" customHeight="1" thickBot="1" x14ac:dyDescent="0.3">
      <c r="A1" s="16" t="s">
        <v>16</v>
      </c>
      <c r="B1" s="43"/>
    </row>
    <row r="2" spans="1:11" ht="15.75" customHeight="1" x14ac:dyDescent="0.25">
      <c r="A2" s="27" t="s">
        <v>0</v>
      </c>
      <c r="B2" s="44"/>
    </row>
    <row r="3" spans="1:11" ht="15.75" customHeight="1" thickBot="1" x14ac:dyDescent="0.3">
      <c r="A3" s="7" t="s">
        <v>1</v>
      </c>
      <c r="B3" s="45"/>
    </row>
    <row r="4" spans="1:11" ht="30" customHeight="1" x14ac:dyDescent="0.25">
      <c r="A4" s="12" t="s">
        <v>2</v>
      </c>
      <c r="B4" s="13" t="s">
        <v>3</v>
      </c>
      <c r="C4" s="13" t="s">
        <v>4</v>
      </c>
      <c r="D4" s="14" t="s">
        <v>23</v>
      </c>
      <c r="E4" s="13" t="s">
        <v>24</v>
      </c>
      <c r="F4" s="14" t="s">
        <v>25</v>
      </c>
      <c r="G4" s="14" t="s">
        <v>26</v>
      </c>
      <c r="H4" s="14" t="s">
        <v>31</v>
      </c>
      <c r="I4" s="14" t="s">
        <v>27</v>
      </c>
      <c r="J4" s="25" t="s">
        <v>28</v>
      </c>
      <c r="K4" s="15" t="s">
        <v>19</v>
      </c>
    </row>
    <row r="5" spans="1:11" ht="30" customHeight="1" x14ac:dyDescent="0.25">
      <c r="A5" s="4" t="s">
        <v>5</v>
      </c>
      <c r="B5" s="5" t="s">
        <v>6</v>
      </c>
      <c r="C5" s="24"/>
      <c r="D5" s="5">
        <v>74.55</v>
      </c>
      <c r="E5" s="5"/>
      <c r="F5" s="11" t="e">
        <f>D5/(E5/100)</f>
        <v>#DIV/0!</v>
      </c>
      <c r="G5" s="5">
        <v>100</v>
      </c>
      <c r="H5" s="10" t="e">
        <f>I5*2</f>
        <v>#DIV/0!</v>
      </c>
      <c r="I5" s="10" t="e">
        <f>F5*0.1</f>
        <v>#DIV/0!</v>
      </c>
      <c r="J5" s="26" t="e">
        <f>I5/2</f>
        <v>#DIV/0!</v>
      </c>
      <c r="K5" s="6"/>
    </row>
    <row r="6" spans="1:11" ht="30" customHeight="1" x14ac:dyDescent="0.25">
      <c r="A6" s="4" t="s">
        <v>7</v>
      </c>
      <c r="B6" s="5" t="s">
        <v>6</v>
      </c>
      <c r="C6" s="24"/>
      <c r="D6" s="5">
        <v>68.08</v>
      </c>
      <c r="E6" s="5"/>
      <c r="F6" s="11" t="e">
        <f>D6/(E6/100)</f>
        <v>#DIV/0!</v>
      </c>
      <c r="G6" s="5">
        <v>20</v>
      </c>
      <c r="H6" s="10" t="e">
        <f>I6*2</f>
        <v>#DIV/0!</v>
      </c>
      <c r="I6" s="10" t="e">
        <f>F6*0.02</f>
        <v>#DIV/0!</v>
      </c>
      <c r="J6" s="26" t="e">
        <f>I6/2</f>
        <v>#DIV/0!</v>
      </c>
      <c r="K6" s="6"/>
    </row>
    <row r="7" spans="1:11" ht="30" customHeight="1" x14ac:dyDescent="0.25">
      <c r="A7" s="4" t="s">
        <v>8</v>
      </c>
      <c r="B7" s="5" t="s">
        <v>6</v>
      </c>
      <c r="C7" s="24"/>
      <c r="D7" s="5">
        <v>380.35</v>
      </c>
      <c r="E7" s="5"/>
      <c r="F7" s="11" t="e">
        <f>D7/(E7/100)</f>
        <v>#DIV/0!</v>
      </c>
      <c r="G7" s="5">
        <v>2</v>
      </c>
      <c r="H7" s="10" t="e">
        <f>I7*2</f>
        <v>#DIV/0!</v>
      </c>
      <c r="I7" s="10" t="e">
        <f>F7*0.002</f>
        <v>#DIV/0!</v>
      </c>
      <c r="J7" s="26" t="e">
        <f>I7/2</f>
        <v>#DIV/0!</v>
      </c>
      <c r="K7" s="6"/>
    </row>
    <row r="8" spans="1:11" ht="30" customHeight="1" thickBot="1" x14ac:dyDescent="0.3">
      <c r="A8" s="28" t="s">
        <v>9</v>
      </c>
      <c r="B8" s="29" t="s">
        <v>20</v>
      </c>
      <c r="C8" s="30"/>
      <c r="D8" s="29">
        <v>605.19000000000005</v>
      </c>
      <c r="E8" s="31"/>
      <c r="F8" s="32" t="e">
        <f>D8/(E8/100)</f>
        <v>#DIV/0!</v>
      </c>
      <c r="G8" s="29">
        <v>4</v>
      </c>
      <c r="H8" s="33" t="e">
        <f>I8*2</f>
        <v>#DIV/0!</v>
      </c>
      <c r="I8" s="33" t="e">
        <f>F8*0.004</f>
        <v>#DIV/0!</v>
      </c>
      <c r="J8" s="34" t="e">
        <f>I8/2</f>
        <v>#DIV/0!</v>
      </c>
      <c r="K8" s="35"/>
    </row>
    <row r="9" spans="1:11" ht="30" customHeight="1" thickBot="1" x14ac:dyDescent="0.3">
      <c r="A9" s="36" t="s">
        <v>10</v>
      </c>
      <c r="B9" s="37" t="s">
        <v>11</v>
      </c>
      <c r="C9" s="37" t="s">
        <v>22</v>
      </c>
      <c r="D9" s="38" t="s">
        <v>29</v>
      </c>
      <c r="E9" s="39"/>
      <c r="F9" s="37" t="s">
        <v>12</v>
      </c>
      <c r="G9" s="37">
        <v>7</v>
      </c>
      <c r="H9" s="37" t="s">
        <v>21</v>
      </c>
      <c r="I9" s="37" t="s">
        <v>13</v>
      </c>
      <c r="J9" s="40" t="s">
        <v>30</v>
      </c>
      <c r="K9" s="41"/>
    </row>
    <row r="10" spans="1:11" ht="15.75" customHeight="1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1" ht="28" customHeight="1" thickBot="1" x14ac:dyDescent="0.3">
      <c r="A11" s="16" t="s">
        <v>17</v>
      </c>
      <c r="B11" s="17"/>
      <c r="C11" s="1"/>
      <c r="D11" s="1"/>
      <c r="E11" s="1"/>
      <c r="F11" s="1"/>
      <c r="G11" s="1"/>
      <c r="H11" s="1"/>
      <c r="I11" s="1"/>
      <c r="J11" s="1"/>
    </row>
    <row r="12" spans="1:11" ht="30" customHeight="1" x14ac:dyDescent="0.25">
      <c r="A12" s="2" t="s">
        <v>14</v>
      </c>
      <c r="B12" s="3"/>
      <c r="C12" s="1"/>
      <c r="D12" s="1"/>
      <c r="E12" s="1"/>
      <c r="F12" s="1"/>
      <c r="G12" s="1"/>
      <c r="H12" s="1"/>
      <c r="I12" s="1"/>
      <c r="J12" s="1"/>
    </row>
    <row r="13" spans="1:11" ht="30" customHeight="1" thickBot="1" x14ac:dyDescent="0.3">
      <c r="A13" s="8" t="s">
        <v>15</v>
      </c>
      <c r="B13" s="9"/>
      <c r="C13" s="1"/>
      <c r="D13" s="1"/>
      <c r="E13" s="1"/>
      <c r="F13" s="1"/>
      <c r="G13" s="1"/>
      <c r="H13" s="1"/>
      <c r="I13" s="1"/>
      <c r="J13" s="1"/>
    </row>
    <row r="14" spans="1:11" ht="30" customHeight="1" x14ac:dyDescent="0.25">
      <c r="A14" s="18" t="s">
        <v>18</v>
      </c>
      <c r="B14" s="19"/>
      <c r="D14" s="42"/>
    </row>
    <row r="15" spans="1:11" ht="15.75" customHeight="1" x14ac:dyDescent="0.25">
      <c r="A15" s="20"/>
      <c r="B15" s="21"/>
    </row>
    <row r="16" spans="1:11" ht="15.75" customHeight="1" thickBot="1" x14ac:dyDescent="0.3">
      <c r="A16" s="22"/>
      <c r="B16" s="23"/>
    </row>
  </sheetData>
  <mergeCells count="5">
    <mergeCell ref="A1:B1"/>
    <mergeCell ref="A11:B11"/>
    <mergeCell ref="A14:B14"/>
    <mergeCell ref="A15:B16"/>
    <mergeCell ref="D9:E9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13" ma:contentTypeDescription="Create a new document." ma:contentTypeScope="" ma:versionID="abfa450e2c882fa05ec7f6a4b4016779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53678093842f3275b6926b32e7a9c141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AFEA7C-ECB0-4A51-9E17-02E120CDEEE9}">
  <ds:schemaRefs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6cbc0c5a-d948-46e5-8624-1bad210f77c7"/>
    <ds:schemaRef ds:uri="http://schemas.microsoft.com/office/infopath/2007/PartnerControls"/>
    <ds:schemaRef ds:uri="5d5a2885-0f9b-4d04-9bc1-f867a2376b8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A161E6A-5B3F-4912-ADEE-71AD0FF6FC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3833AD-3BAD-44F9-A428-5312EFC8FF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500mL</vt:lpstr>
      <vt:lpstr>'500mL'!Print_Area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Minton, Austin T.</cp:lastModifiedBy>
  <cp:revision/>
  <cp:lastPrinted>2024-03-29T14:24:50Z</cp:lastPrinted>
  <dcterms:created xsi:type="dcterms:W3CDTF">2018-06-07T17:40:20Z</dcterms:created>
  <dcterms:modified xsi:type="dcterms:W3CDTF">2026-03-12T17:05:05Z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</Properties>
</file>